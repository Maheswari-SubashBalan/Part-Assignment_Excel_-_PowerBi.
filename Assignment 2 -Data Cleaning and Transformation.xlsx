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Assignment/"/>
    </mc:Choice>
  </mc:AlternateContent>
  <xr:revisionPtr revIDLastSave="52" documentId="8_{6CE2B181-94C1-4A65-A11E-CC04F0B826E6}" xr6:coauthVersionLast="47" xr6:coauthVersionMax="47" xr10:uidLastSave="{9BE73ECC-A950-4216-80C5-4B9CE58C1386}"/>
  <bookViews>
    <workbookView xWindow="-108" yWindow="-108" windowWidth="23256" windowHeight="12456" activeTab="3" xr2:uid="{00000000-000D-0000-FFFF-FFFF00000000}"/>
  </bookViews>
  <sheets>
    <sheet name="Instructions" sheetId="1" r:id="rId1"/>
    <sheet name="Dataset" sheetId="2" r:id="rId2"/>
    <sheet name="Process" sheetId="3" r:id="rId3"/>
    <sheet name="Cleaned" sheetId="4" r:id="rId4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2" i="3"/>
  <c r="G23" i="3"/>
  <c r="G24" i="3"/>
  <c r="G25" i="3"/>
  <c r="G27" i="3"/>
  <c r="G28" i="3"/>
  <c r="G29" i="3"/>
  <c r="G30" i="3"/>
  <c r="G31" i="3"/>
  <c r="G32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G26" i="3" l="1"/>
  <c r="G21" i="3"/>
  <c r="G7" i="3"/>
</calcChain>
</file>

<file path=xl/sharedStrings.xml><?xml version="1.0" encoding="utf-8"?>
<sst xmlns="http://schemas.openxmlformats.org/spreadsheetml/2006/main" count="457" uniqueCount="204">
  <si>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</si>
  <si>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</si>
  <si>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</si>
  <si>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</si>
  <si>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</si>
  <si>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</si>
  <si>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</si>
  <si>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</si>
  <si>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</si>
  <si>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</si>
  <si>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</si>
  <si>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</si>
  <si>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</si>
  <si>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</si>
  <si>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</si>
  <si>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</si>
  <si>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</si>
  <si>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</si>
  <si>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</si>
  <si>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</si>
  <si>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</si>
  <si>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</si>
  <si>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</si>
  <si>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</si>
  <si>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</si>
  <si>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</si>
  <si>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</si>
  <si>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</si>
  <si>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</si>
  <si>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</si>
  <si>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</si>
  <si>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</si>
  <si>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</si>
  <si>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</si>
  <si>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</si>
  <si>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</si>
  <si>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</si>
  <si>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</si>
  <si>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</si>
  <si>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</si>
  <si>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</si>
  <si>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</si>
  <si>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</si>
  <si>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</si>
  <si>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</si>
  <si>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</si>
  <si>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</si>
  <si>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</si>
  <si>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</si>
  <si>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</si>
  <si>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</si>
  <si>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</si>
  <si>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</si>
  <si>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</si>
  <si>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</si>
  <si>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</si>
  <si>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</si>
  <si>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</si>
  <si>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</si>
  <si>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</si>
  <si>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</si>
  <si>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</si>
  <si>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</si>
  <si>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</si>
  <si>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</si>
  <si>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</si>
  <si>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</si>
  <si>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</si>
  <si>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</si>
  <si>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</si>
  <si>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</si>
  <si>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</si>
  <si>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</si>
  <si>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</si>
  <si>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</si>
  <si>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</si>
  <si>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</si>
  <si>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</si>
  <si>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</si>
  <si>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</si>
  <si>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</si>
  <si>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</si>
  <si>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</si>
  <si>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</si>
  <si>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</si>
  <si>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</si>
  <si>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</si>
  <si>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</si>
  <si>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</si>
  <si>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</si>
  <si>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</si>
  <si>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</si>
  <si>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</si>
  <si>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</si>
  <si>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</si>
  <si>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</si>
  <si>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</si>
  <si>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</si>
  <si>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</si>
  <si>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</si>
  <si>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</si>
  <si>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</si>
  <si>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</si>
  <si>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</si>
  <si>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</si>
  <si>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</si>
  <si>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</si>
  <si>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</si>
  <si>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</si>
  <si>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</si>
  <si>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</si>
  <si>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</si>
  <si>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</si>
  <si>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</si>
  <si>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</si>
  <si>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</si>
  <si>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</si>
  <si>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Product Brand</t>
  </si>
  <si>
    <t>Category2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</si>
  <si>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</si>
  <si>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</si>
  <si>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</si>
  <si>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</si>
  <si>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</si>
  <si>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</si>
  <si>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</si>
  <si>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</si>
  <si>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</si>
  <si>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</si>
  <si>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</si>
  <si>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</si>
  <si>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</si>
  <si>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</si>
  <si>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</si>
  <si>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</si>
  <si>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</si>
  <si>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</si>
  <si>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</si>
  <si>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</si>
  <si>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</si>
  <si>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</si>
  <si>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</si>
  <si>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</si>
  <si>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</si>
  <si>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</si>
  <si>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</si>
  <si>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</si>
  <si>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</si>
  <si>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</si>
  <si>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</si>
  <si>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</si>
  <si>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</si>
  <si>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</si>
  <si>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</si>
  <si>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</si>
  <si>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</si>
  <si>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</si>
  <si>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</si>
  <si>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</si>
  <si>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</si>
  <si>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</si>
  <si>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</si>
  <si>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</si>
  <si>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Unknown</t>
  </si>
  <si>
    <t>Manufacturing Date</t>
  </si>
  <si>
    <t>3. I used the Find and Replace function to handle all three tasks. I standardized the Product Name column and corrected typos in the Category column. I choose this approach to reduce the use of formulas in Excel</t>
  </si>
  <si>
    <t>4. I found 3 duplicate values and removed them</t>
  </si>
  <si>
    <t>5. I used LEFT for the Manufacturing Date, Flash Fill for the Country Code, and CONCATENATE to create the Product Brand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</si>
  <si>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</si>
  <si>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</si>
  <si>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</si>
  <si>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</si>
  <si>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</si>
  <si>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</si>
  <si>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</si>
  <si>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</si>
  <si>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</si>
  <si>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</si>
  <si>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</si>
  <si>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</si>
  <si>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</si>
  <si>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</si>
  <si>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</si>
  <si>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</si>
  <si>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</si>
  <si>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</si>
  <si>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</si>
  <si>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</si>
  <si>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</si>
  <si>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</si>
  <si>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</si>
  <si>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</si>
  <si>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</si>
  <si>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</si>
  <si>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</si>
  <si>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</si>
  <si>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</si>
  <si>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</si>
  <si>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6. I formatted the Price column in currency format and changed the Manufacturing Date column to the DD-MM-YYYY format</t>
  </si>
  <si>
    <t>7. I applied color scale conditional formatting to the Price column to visualize variations. For the Category column, I created a custom rule using ‘Format Cells That Contain’ to highlight cells equal to ‘Electronics’ and applied a specific format</t>
  </si>
  <si>
    <t>1. I handled missing values in the Price column by using the IF function along with the averageif, and updated the cleaned data in column D</t>
  </si>
  <si>
    <t>2. I used a nested IF function to handle missing values in the Category column, and for one record, I assigned "Outdoor"</t>
  </si>
  <si>
    <t>Observation</t>
  </si>
  <si>
    <t>Price ($)2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</si>
</sst>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6" formatCode="[$$-409]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rgb="FF4DD0E1"/>
      </patternFill>
    </fill>
    <fill>
      <patternFill patternType="solid">
        <fgColor rgb="FFFFFF00"/>
        <bgColor rgb="FF4DD0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1" xfId="0" applyFont="1" applyBorder="1"/>
    <xf numFmtId="0" fontId="5" fillId="0" borderId="6" xfId="0" applyFont="1" applyBorder="1"/>
    <xf numFmtId="0" fontId="5" fillId="3" borderId="5" xfId="0" applyFont="1" applyFill="1" applyBorder="1"/>
    <xf numFmtId="0" fontId="5" fillId="3" borderId="1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7" fillId="4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6" fontId="8" fillId="0" borderId="5" xfId="0" applyNumberFormat="1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4" xfId="0" applyBorder="1"/>
    <xf numFmtId="16" fontId="0" fillId="0" borderId="5" xfId="0" applyNumberFormat="1" applyBorder="1" applyAlignment="1">
      <alignment horizontal="center" vertical="center"/>
    </xf>
    <xf numFmtId="0" fontId="0" fillId="0" borderId="6" xfId="0" applyBorder="1"/>
    <xf numFmtId="16" fontId="0" fillId="0" borderId="7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5" borderId="3" xfId="0" applyFont="1" applyFill="1" applyBorder="1" applyAlignment="1">
      <alignment horizontal="center"/>
    </xf>
    <xf numFmtId="166" fontId="5" fillId="0" borderId="1" xfId="0" applyNumberFormat="1" applyFont="1" applyBorder="1"/>
    <xf numFmtId="166" fontId="5" fillId="3" borderId="1" xfId="0" applyNumberFormat="1" applyFont="1" applyFill="1" applyBorder="1"/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[$$-409]#,##0.0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1" formatCode="dd/mmm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1" formatCode="dd/mmm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1" formatCode="dd/m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1" formatCode="dd/mmm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A5059-D0D8-4AFF-898C-2C5A392007DA}" name="Table1" displayName="Table1" ref="A1:F35" totalsRowShown="0" headerRowDxfId="29" dataDxfId="27" headerRowBorderDxfId="28" tableBorderDxfId="26" totalsRowBorderDxfId="25">
  <autoFilter ref="A1:F35" xr:uid="{B89A5059-D0D8-4AFF-898C-2C5A392007DA}"/>
  <tableColumns count="6">
    <tableColumn id="1" xr3:uid="{DC801203-1C51-4A9F-9A1F-28D23499E7FC}" name="Product ID" dataDxfId="24"/>
    <tableColumn id="2" xr3:uid="{08289254-9825-4E0D-8E56-4781112ECA64}" name="Product Name" dataDxfId="23"/>
    <tableColumn id="3" xr3:uid="{5F8E18FC-CCBB-4079-B82C-C29EA9DB3513}" name="Brand Name" dataDxfId="22"/>
    <tableColumn id="4" xr3:uid="{2AB98EF9-DAEB-4BEF-A246-7F04C0ED2D82}" name="Price ($)" dataDxfId="21"/>
    <tableColumn id="5" xr3:uid="{49E91C2E-F7F9-489E-B988-FBCC2FA3CA87}" name="Quantity" dataDxfId="20"/>
    <tableColumn id="6" xr3:uid="{F1969898-5413-4D46-ABA7-391C963FC42E}" name="Category" dataDxfId="1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EFD86F-A0C7-42DD-998D-3B777A6886A7}" name="Table3" displayName="Table3" ref="A1:K32" totalsRowShown="0" headerRowDxfId="18" dataDxfId="16" headerRowBorderDxfId="17" tableBorderDxfId="15" totalsRowBorderDxfId="14">
  <autoFilter ref="A1:K32" xr:uid="{64EFD86F-A0C7-42DD-998D-3B777A6886A7}"/>
  <tableColumns count="11">
    <tableColumn id="10" xr3:uid="{48799B16-5C30-4A2C-9199-63D09931C301}" name="Country Code" dataDxfId="13"/>
    <tableColumn id="12" xr3:uid="{D73CA7E1-77BC-450A-9E11-61BB811FF587}" name="Manufacturing Date" dataDxfId="12">
      <calculatedColumnFormula>LEFT(Table3[[#This Row],[Product ID]],6)</calculatedColumnFormula>
    </tableColumn>
    <tableColumn id="1" xr3:uid="{6A380B1C-C07B-4950-BC5A-2B46E6C54CC5}" name="Product ID" dataDxfId="11"/>
    <tableColumn id="11" xr3:uid="{AAC0F23E-67B2-4329-A64C-978B5563E82F}" name="Product Brand" dataDxfId="10">
      <calculatedColumnFormula>CONCATENATE(Table3[[#This Row],[Product Name]]," ",Table3[[#This Row],[Brand Name]])</calculatedColumnFormula>
    </tableColumn>
    <tableColumn id="2" xr3:uid="{F3AEAE1D-10A2-4751-84A9-D156C3AE9A82}" name="Product Name" dataDxfId="9"/>
    <tableColumn id="3" xr3:uid="{B395EDBB-6EDE-40E6-8F33-79D08515DE43}" name="Brand Name" dataDxfId="8"/>
    <tableColumn id="7" xr3:uid="{7567E14A-06EF-4D5A-97A0-B469DFE8CC3E}" name="Price ($)" dataDxfId="0">
      <calculatedColumnFormula>IF(H2="",AVERAGEIF($J$2:$J$32,J2,$H$2:$H$32),H2)</calculatedColumnFormula>
    </tableColumn>
    <tableColumn id="4" xr3:uid="{E186F5C5-4472-4904-BFCC-82868269B874}" name="Price ($)2" dataDxfId="7"/>
    <tableColumn id="5" xr3:uid="{52BD8831-7266-41F8-9279-81AF7C7AEA40}" name="Quantity" dataDxfId="6"/>
    <tableColumn id="8" xr3:uid="{42D4B000-FD18-425C-AF76-1710E22CA2F5}" name="Category" dataDxfId="5">
      <calculatedColumnFormula>IF(K2="",IF(E2="Sneakers","Fashion",IF(E2="Coffee Maker","Kitchen",IF(E2="Fitness Tracker","Electronics","Outdoor"))),K2)</calculatedColumnFormula>
    </tableColumn>
    <tableColumn id="6" xr3:uid="{027609BD-F511-435D-A056-18ED6C1D22C8}" name="Category2" dataDxfId="4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C92AA3-9842-49B2-A5BE-B3EF610E583E}" name="Table4" displayName="Table4" ref="A1:F32" totalsRowShown="0" headerRowDxfId="39" headerRowBorderDxfId="38" tableBorderDxfId="37" totalsRowBorderDxfId="36">
  <autoFilter ref="A1:F32" xr:uid="{00C92AA3-9842-49B2-A5BE-B3EF610E583E}"/>
  <tableColumns count="6">
    <tableColumn id="1" xr3:uid="{6BB90F71-3F73-4FB1-9156-716C8D280915}" name="Country Code" dataDxfId="35"/>
    <tableColumn id="2" xr3:uid="{6C84CC2E-91CC-4BB9-9572-1F7A840BE124}" name="Manufacturing Date" dataDxfId="34"/>
    <tableColumn id="3" xr3:uid="{E17541C5-8B54-4A07-89CC-6004B6B1D2A6}" name="Product Brand" dataDxfId="33"/>
    <tableColumn id="4" xr3:uid="{AE4DCA7F-E04B-4892-8497-E4670ECCCEE3}" name="Price" dataDxfId="32"/>
    <tableColumn id="5" xr3:uid="{81CEE3CE-798D-45C3-9E1E-C5064751557F}" name="Quantity" dataDxfId="31"/>
    <tableColumn id="6" xr3:uid="{09D2079B-7D70-4A96-8244-34C0466A05AA}" name="Category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Normal="100" workbookViewId="0">
      <selection activeCell="C16" sqref="C1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6" zoomScaleNormal="100" workbookViewId="0">
      <selection activeCell="A18" sqref="A18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</cols>
  <sheetData>
    <row r="1" spans="1:16" ht="15.75" customHeight="1" x14ac:dyDescent="0.25">
      <c r="A1" s="7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9" t="s">
        <v>24</v>
      </c>
    </row>
    <row r="2" spans="1:16" ht="15.75" customHeight="1" x14ac:dyDescent="0.25">
      <c r="A2" s="10" t="s">
        <v>25</v>
      </c>
      <c r="B2" s="11" t="s">
        <v>26</v>
      </c>
      <c r="C2" s="11" t="s">
        <v>27</v>
      </c>
      <c r="D2" s="11">
        <v>1000</v>
      </c>
      <c r="E2" s="11">
        <v>30</v>
      </c>
      <c r="F2" s="12" t="s">
        <v>28</v>
      </c>
    </row>
    <row r="3" spans="1:16" ht="15.75" customHeight="1" x14ac:dyDescent="0.3">
      <c r="A3" s="13" t="s">
        <v>29</v>
      </c>
      <c r="B3" s="14" t="s">
        <v>30</v>
      </c>
      <c r="C3" s="14" t="s">
        <v>31</v>
      </c>
      <c r="D3" s="14">
        <v>80</v>
      </c>
      <c r="E3" s="14">
        <v>15</v>
      </c>
      <c r="F3" s="15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10" t="s">
        <v>33</v>
      </c>
      <c r="B4" s="11" t="s">
        <v>34</v>
      </c>
      <c r="C4" s="11" t="s">
        <v>35</v>
      </c>
      <c r="D4" s="11">
        <v>130</v>
      </c>
      <c r="E4" s="11">
        <v>40</v>
      </c>
      <c r="F4" s="12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13" t="s">
        <v>37</v>
      </c>
      <c r="B5" s="14" t="s">
        <v>38</v>
      </c>
      <c r="C5" s="14" t="s">
        <v>39</v>
      </c>
      <c r="D5" s="14">
        <v>900</v>
      </c>
      <c r="E5" s="14">
        <v>25</v>
      </c>
      <c r="F5" s="15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10" t="s">
        <v>40</v>
      </c>
      <c r="B6" s="11" t="s">
        <v>41</v>
      </c>
      <c r="C6" s="11" t="s">
        <v>42</v>
      </c>
      <c r="D6" s="11">
        <v>70</v>
      </c>
      <c r="E6" s="11">
        <v>20</v>
      </c>
      <c r="F6" s="12"/>
    </row>
    <row r="7" spans="1:16" ht="15.75" customHeight="1" x14ac:dyDescent="0.25">
      <c r="A7" s="13" t="s">
        <v>43</v>
      </c>
      <c r="B7" s="14" t="s">
        <v>44</v>
      </c>
      <c r="C7" s="14" t="s">
        <v>45</v>
      </c>
      <c r="D7" s="14"/>
      <c r="E7" s="14">
        <v>45</v>
      </c>
      <c r="F7" s="15" t="s">
        <v>46</v>
      </c>
    </row>
    <row r="8" spans="1:16" ht="15.75" customHeight="1" x14ac:dyDescent="0.25">
      <c r="A8" s="10" t="s">
        <v>47</v>
      </c>
      <c r="B8" s="11" t="s">
        <v>48</v>
      </c>
      <c r="C8" s="11" t="s">
        <v>49</v>
      </c>
      <c r="D8" s="11">
        <v>30</v>
      </c>
      <c r="E8" s="11">
        <v>5</v>
      </c>
      <c r="F8" s="12" t="s">
        <v>32</v>
      </c>
    </row>
    <row r="9" spans="1:16" ht="15.75" customHeight="1" x14ac:dyDescent="0.25">
      <c r="A9" s="13" t="s">
        <v>50</v>
      </c>
      <c r="B9" s="14" t="s">
        <v>51</v>
      </c>
      <c r="C9" s="14" t="s">
        <v>52</v>
      </c>
      <c r="D9" s="14">
        <v>90</v>
      </c>
      <c r="E9" s="14">
        <v>35</v>
      </c>
      <c r="F9" s="15" t="s">
        <v>36</v>
      </c>
    </row>
    <row r="10" spans="1:16" ht="15.75" customHeight="1" x14ac:dyDescent="0.25">
      <c r="A10" s="10" t="s">
        <v>53</v>
      </c>
      <c r="B10" s="11" t="s">
        <v>54</v>
      </c>
      <c r="C10" s="11" t="s">
        <v>55</v>
      </c>
      <c r="D10" s="11">
        <v>500</v>
      </c>
      <c r="E10" s="11">
        <v>50</v>
      </c>
      <c r="F10" s="12" t="s">
        <v>28</v>
      </c>
    </row>
    <row r="11" spans="1:16" ht="15.75" customHeight="1" x14ac:dyDescent="0.25">
      <c r="A11" s="13" t="s">
        <v>56</v>
      </c>
      <c r="B11" s="14" t="s">
        <v>57</v>
      </c>
      <c r="C11" s="14" t="s">
        <v>58</v>
      </c>
      <c r="D11" s="14">
        <v>130</v>
      </c>
      <c r="E11" s="14">
        <v>10</v>
      </c>
      <c r="F11" s="15" t="s">
        <v>59</v>
      </c>
    </row>
    <row r="12" spans="1:16" ht="15.75" customHeight="1" x14ac:dyDescent="0.25">
      <c r="A12" s="10" t="s">
        <v>60</v>
      </c>
      <c r="B12" s="11" t="s">
        <v>61</v>
      </c>
      <c r="C12" s="11" t="s">
        <v>62</v>
      </c>
      <c r="D12" s="11">
        <v>950</v>
      </c>
      <c r="E12" s="11">
        <v>25</v>
      </c>
      <c r="F12" s="12" t="s">
        <v>28</v>
      </c>
    </row>
    <row r="13" spans="1:16" ht="15.75" customHeight="1" x14ac:dyDescent="0.25">
      <c r="A13" s="13" t="s">
        <v>63</v>
      </c>
      <c r="B13" s="14" t="s">
        <v>30</v>
      </c>
      <c r="C13" s="14" t="s">
        <v>49</v>
      </c>
      <c r="D13" s="14">
        <v>90</v>
      </c>
      <c r="E13" s="14">
        <v>40</v>
      </c>
      <c r="F13" s="15"/>
    </row>
    <row r="14" spans="1:16" ht="15.75" customHeight="1" x14ac:dyDescent="0.25">
      <c r="A14" s="10" t="s">
        <v>64</v>
      </c>
      <c r="B14" s="11" t="s">
        <v>34</v>
      </c>
      <c r="C14" s="11" t="s">
        <v>65</v>
      </c>
      <c r="D14" s="11">
        <v>120</v>
      </c>
      <c r="E14" s="11">
        <v>35</v>
      </c>
      <c r="F14" s="12"/>
    </row>
    <row r="15" spans="1:16" ht="15.75" customHeight="1" x14ac:dyDescent="0.25">
      <c r="A15" s="13" t="s">
        <v>66</v>
      </c>
      <c r="B15" s="14" t="s">
        <v>67</v>
      </c>
      <c r="C15" s="14" t="s">
        <v>68</v>
      </c>
      <c r="D15" s="14">
        <v>150</v>
      </c>
      <c r="E15" s="14">
        <v>15</v>
      </c>
      <c r="F15" s="15" t="s">
        <v>46</v>
      </c>
    </row>
    <row r="16" spans="1:16" ht="15.75" customHeight="1" x14ac:dyDescent="0.25">
      <c r="A16" s="10" t="s">
        <v>69</v>
      </c>
      <c r="B16" s="11" t="s">
        <v>70</v>
      </c>
      <c r="C16" s="11" t="s">
        <v>71</v>
      </c>
      <c r="D16" s="11">
        <v>250</v>
      </c>
      <c r="E16" s="11">
        <v>20</v>
      </c>
      <c r="F16" s="12" t="s">
        <v>46</v>
      </c>
    </row>
    <row r="17" spans="1:6" ht="15.75" customHeight="1" x14ac:dyDescent="0.25">
      <c r="A17" s="13" t="s">
        <v>72</v>
      </c>
      <c r="B17" s="14" t="s">
        <v>73</v>
      </c>
      <c r="C17" s="14" t="s">
        <v>74</v>
      </c>
      <c r="D17" s="14">
        <v>50</v>
      </c>
      <c r="E17" s="14">
        <v>35</v>
      </c>
      <c r="F17" s="15" t="s">
        <v>75</v>
      </c>
    </row>
    <row r="18" spans="1:6" ht="15.75" customHeight="1" x14ac:dyDescent="0.25">
      <c r="A18" s="10" t="s">
        <v>76</v>
      </c>
      <c r="B18" s="11" t="s">
        <v>67</v>
      </c>
      <c r="C18" s="11" t="s">
        <v>77</v>
      </c>
      <c r="D18" s="11">
        <v>160</v>
      </c>
      <c r="E18" s="11">
        <v>15</v>
      </c>
      <c r="F18" s="12" t="s">
        <v>46</v>
      </c>
    </row>
    <row r="19" spans="1:6" ht="15.75" customHeight="1" x14ac:dyDescent="0.25">
      <c r="A19" s="13" t="s">
        <v>78</v>
      </c>
      <c r="B19" s="14" t="s">
        <v>26</v>
      </c>
      <c r="C19" s="14" t="s">
        <v>79</v>
      </c>
      <c r="D19" s="14">
        <v>980</v>
      </c>
      <c r="E19" s="14">
        <v>10</v>
      </c>
      <c r="F19" s="15" t="s">
        <v>28</v>
      </c>
    </row>
    <row r="20" spans="1:6" ht="15.75" customHeight="1" x14ac:dyDescent="0.25">
      <c r="A20" s="10" t="s">
        <v>80</v>
      </c>
      <c r="B20" s="11" t="s">
        <v>81</v>
      </c>
      <c r="C20" s="11" t="s">
        <v>82</v>
      </c>
      <c r="D20" s="11">
        <v>150</v>
      </c>
      <c r="E20" s="11">
        <v>15</v>
      </c>
      <c r="F20" s="12" t="s">
        <v>32</v>
      </c>
    </row>
    <row r="21" spans="1:6" ht="15.75" customHeight="1" x14ac:dyDescent="0.25">
      <c r="A21" s="13" t="s">
        <v>83</v>
      </c>
      <c r="B21" s="14" t="s">
        <v>84</v>
      </c>
      <c r="C21" s="14" t="s">
        <v>85</v>
      </c>
      <c r="D21" s="14"/>
      <c r="E21" s="14">
        <v>10</v>
      </c>
      <c r="F21" s="15" t="s">
        <v>59</v>
      </c>
    </row>
    <row r="22" spans="1:6" ht="15.75" customHeight="1" x14ac:dyDescent="0.25">
      <c r="A22" s="10" t="s">
        <v>86</v>
      </c>
      <c r="B22" s="11" t="s">
        <v>87</v>
      </c>
      <c r="C22" s="11" t="s">
        <v>88</v>
      </c>
      <c r="D22" s="11">
        <v>700</v>
      </c>
      <c r="E22" s="11">
        <v>50</v>
      </c>
      <c r="F22" s="12" t="s">
        <v>28</v>
      </c>
    </row>
    <row r="23" spans="1:6" ht="15.75" customHeight="1" x14ac:dyDescent="0.25">
      <c r="A23" s="13" t="s">
        <v>89</v>
      </c>
      <c r="B23" s="14" t="s">
        <v>90</v>
      </c>
      <c r="C23" s="14" t="s">
        <v>91</v>
      </c>
      <c r="D23" s="14">
        <v>80</v>
      </c>
      <c r="E23" s="14">
        <v>20</v>
      </c>
      <c r="F23" s="15" t="s">
        <v>36</v>
      </c>
    </row>
    <row r="24" spans="1:6" ht="15.75" customHeight="1" x14ac:dyDescent="0.25">
      <c r="A24" s="10" t="s">
        <v>92</v>
      </c>
      <c r="B24" s="11" t="s">
        <v>93</v>
      </c>
      <c r="C24" s="11" t="s">
        <v>94</v>
      </c>
      <c r="D24" s="11">
        <v>150</v>
      </c>
      <c r="E24" s="11">
        <v>30</v>
      </c>
      <c r="F24" s="12"/>
    </row>
    <row r="25" spans="1:6" ht="15.75" customHeight="1" x14ac:dyDescent="0.25">
      <c r="A25" s="13" t="s">
        <v>72</v>
      </c>
      <c r="B25" s="14" t="s">
        <v>73</v>
      </c>
      <c r="C25" s="14" t="s">
        <v>74</v>
      </c>
      <c r="D25" s="14">
        <v>50</v>
      </c>
      <c r="E25" s="14">
        <v>35</v>
      </c>
      <c r="F25" s="15" t="s">
        <v>75</v>
      </c>
    </row>
    <row r="26" spans="1:6" ht="15.75" customHeight="1" x14ac:dyDescent="0.25">
      <c r="A26" s="10" t="s">
        <v>95</v>
      </c>
      <c r="B26" s="11" t="s">
        <v>96</v>
      </c>
      <c r="C26" s="11" t="s">
        <v>97</v>
      </c>
      <c r="D26" s="11">
        <v>800</v>
      </c>
      <c r="E26" s="11">
        <v>45</v>
      </c>
      <c r="F26" s="12" t="s">
        <v>28</v>
      </c>
    </row>
    <row r="27" spans="1:6" ht="15.75" customHeight="1" x14ac:dyDescent="0.25">
      <c r="A27" s="13" t="s">
        <v>98</v>
      </c>
      <c r="B27" s="14" t="s">
        <v>81</v>
      </c>
      <c r="C27" s="14" t="s">
        <v>99</v>
      </c>
      <c r="D27" s="14"/>
      <c r="E27" s="14">
        <v>25</v>
      </c>
      <c r="F27" s="15" t="s">
        <v>32</v>
      </c>
    </row>
    <row r="28" spans="1:6" ht="15.75" customHeight="1" x14ac:dyDescent="0.25">
      <c r="A28" s="10" t="s">
        <v>100</v>
      </c>
      <c r="B28" s="11" t="s">
        <v>51</v>
      </c>
      <c r="C28" s="11" t="s">
        <v>101</v>
      </c>
      <c r="D28" s="11">
        <v>400</v>
      </c>
      <c r="E28" s="11">
        <v>40</v>
      </c>
      <c r="F28" s="12" t="s">
        <v>36</v>
      </c>
    </row>
    <row r="29" spans="1:6" ht="15.75" customHeight="1" x14ac:dyDescent="0.25">
      <c r="A29" s="13" t="s">
        <v>69</v>
      </c>
      <c r="B29" s="14" t="s">
        <v>70</v>
      </c>
      <c r="C29" s="14" t="s">
        <v>71</v>
      </c>
      <c r="D29" s="14">
        <v>250</v>
      </c>
      <c r="E29" s="14">
        <v>20</v>
      </c>
      <c r="F29" s="15" t="s">
        <v>46</v>
      </c>
    </row>
    <row r="30" spans="1:6" ht="15.75" customHeight="1" x14ac:dyDescent="0.25">
      <c r="A30" s="10" t="s">
        <v>102</v>
      </c>
      <c r="B30" s="11" t="s">
        <v>103</v>
      </c>
      <c r="C30" s="11" t="s">
        <v>104</v>
      </c>
      <c r="D30" s="11">
        <v>60</v>
      </c>
      <c r="E30" s="11">
        <v>30</v>
      </c>
      <c r="F30" s="12" t="s">
        <v>32</v>
      </c>
    </row>
    <row r="31" spans="1:6" ht="15.75" customHeight="1" x14ac:dyDescent="0.25">
      <c r="A31" s="13" t="s">
        <v>105</v>
      </c>
      <c r="B31" s="14" t="s">
        <v>106</v>
      </c>
      <c r="C31" s="14" t="s">
        <v>107</v>
      </c>
      <c r="D31" s="14">
        <v>40</v>
      </c>
      <c r="E31" s="14">
        <v>10</v>
      </c>
      <c r="F31" s="15" t="s">
        <v>36</v>
      </c>
    </row>
    <row r="32" spans="1:6" ht="15.75" customHeight="1" x14ac:dyDescent="0.25">
      <c r="A32" s="10" t="s">
        <v>108</v>
      </c>
      <c r="B32" s="11" t="s">
        <v>93</v>
      </c>
      <c r="C32" s="11" t="s">
        <v>109</v>
      </c>
      <c r="D32" s="11">
        <v>130</v>
      </c>
      <c r="E32" s="11">
        <v>5</v>
      </c>
      <c r="F32" s="12" t="s">
        <v>28</v>
      </c>
    </row>
    <row r="33" spans="1:6" ht="15.75" customHeight="1" x14ac:dyDescent="0.25">
      <c r="A33" s="13" t="s">
        <v>110</v>
      </c>
      <c r="B33" s="14" t="s">
        <v>111</v>
      </c>
      <c r="C33" s="14" t="s">
        <v>112</v>
      </c>
      <c r="D33" s="14">
        <v>50</v>
      </c>
      <c r="E33" s="14">
        <v>50</v>
      </c>
      <c r="F33" s="15" t="s">
        <v>32</v>
      </c>
    </row>
    <row r="34" spans="1:6" ht="15.75" customHeight="1" x14ac:dyDescent="0.25">
      <c r="A34" s="10" t="s">
        <v>60</v>
      </c>
      <c r="B34" s="11" t="s">
        <v>61</v>
      </c>
      <c r="C34" s="11" t="s">
        <v>62</v>
      </c>
      <c r="D34" s="11">
        <v>950</v>
      </c>
      <c r="E34" s="11">
        <v>25</v>
      </c>
      <c r="F34" s="12" t="s">
        <v>28</v>
      </c>
    </row>
    <row r="35" spans="1:6" ht="15.75" customHeight="1" x14ac:dyDescent="0.25">
      <c r="A35" s="16" t="s">
        <v>113</v>
      </c>
      <c r="B35" s="17" t="s">
        <v>114</v>
      </c>
      <c r="C35" s="17" t="s">
        <v>115</v>
      </c>
      <c r="D35" s="17">
        <v>100</v>
      </c>
      <c r="E35" s="17">
        <v>20</v>
      </c>
      <c r="F35" s="1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DAF0-704B-4CC4-833B-AD545DB9A2B2}">
  <dimension ref="A1:K32"/>
  <sheetViews>
    <sheetView zoomScaleNormal="100" workbookViewId="0">
      <selection activeCell="B2" sqref="B2"/>
    </sheetView>
  </sheetViews>
  <sheetFormatPr defaultRowHeight="13.2" x14ac:dyDescent="0.25"/>
  <cols>
    <col min="1" max="2" width="21.6640625" customWidth="1"/>
    <col min="3" max="3" width="21.6640625" bestFit="1" customWidth="1"/>
    <col min="4" max="4" width="21.6640625" customWidth="1"/>
    <col min="5" max="5" width="18" bestFit="1" customWidth="1"/>
    <col min="6" max="6" width="18" customWidth="1"/>
    <col min="7" max="7" width="16.21875" bestFit="1" customWidth="1"/>
    <col min="8" max="8" width="12.77734375" bestFit="1" customWidth="1"/>
    <col min="9" max="9" width="12.77734375" customWidth="1"/>
    <col min="10" max="10" width="12.88671875" bestFit="1" customWidth="1"/>
    <col min="11" max="11" width="13.44140625" bestFit="1" customWidth="1"/>
    <col min="12" max="13" width="14.88671875" bestFit="1" customWidth="1"/>
    <col min="14" max="14" width="13.44140625" bestFit="1" customWidth="1"/>
  </cols>
  <sheetData>
    <row r="1" spans="1:11" x14ac:dyDescent="0.25">
      <c r="A1" s="25" t="s">
        <v>119</v>
      </c>
      <c r="B1" s="25" t="s">
        <v>164</v>
      </c>
      <c r="C1" s="23" t="s">
        <v>19</v>
      </c>
      <c r="D1" s="25" t="s">
        <v>117</v>
      </c>
      <c r="E1" s="19" t="s">
        <v>20</v>
      </c>
      <c r="F1" s="19" t="s">
        <v>21</v>
      </c>
      <c r="G1" s="40" t="s">
        <v>22</v>
      </c>
      <c r="H1" s="19" t="s">
        <v>203</v>
      </c>
      <c r="I1" s="20" t="s">
        <v>23</v>
      </c>
      <c r="J1" s="21" t="s">
        <v>24</v>
      </c>
      <c r="K1" s="22" t="s">
        <v>118</v>
      </c>
    </row>
    <row r="2" spans="1:11" x14ac:dyDescent="0.25">
      <c r="A2" s="24" t="s">
        <v>120</v>
      </c>
      <c r="B2" s="24" t="str">
        <f>LEFT(Table3[[#This Row],[Product ID]],6)</f>
        <v>28-JAN</v>
      </c>
      <c r="C2" s="10" t="s">
        <v>25</v>
      </c>
      <c r="D2" s="10" t="str">
        <f>CONCATENATE(Table3[[#This Row],[Product Name]]," ",Table3[[#This Row],[Brand Name]])</f>
        <v>Laptop Dell</v>
      </c>
      <c r="E2" s="11" t="s">
        <v>61</v>
      </c>
      <c r="F2" s="11" t="s">
        <v>27</v>
      </c>
      <c r="G2" s="41">
        <f t="shared" ref="G2:G32" si="0">IF(H2="",AVERAGEIF($J$2:$J$32,J2,$H$2:$H$32),H2)</f>
        <v>1000</v>
      </c>
      <c r="H2" s="11">
        <v>1000</v>
      </c>
      <c r="I2" s="11">
        <v>30</v>
      </c>
      <c r="J2" s="12" t="str">
        <f>IF(K2="",IF(E2="Sneakers","Fashion",IF(E2="Coffee Maker","Kitchen",IF(E2="Fitness Tracker","Electronics","Outdoor"))),K2)</f>
        <v>Electronics</v>
      </c>
      <c r="K2" s="12" t="s">
        <v>28</v>
      </c>
    </row>
    <row r="3" spans="1:11" x14ac:dyDescent="0.25">
      <c r="A3" s="24" t="s">
        <v>120</v>
      </c>
      <c r="B3" s="24" t="str">
        <f>LEFT(Table3[[#This Row],[Product ID]],6)</f>
        <v>15-FEB</v>
      </c>
      <c r="C3" s="13" t="s">
        <v>29</v>
      </c>
      <c r="D3" s="13" t="str">
        <f>CONCATENATE(Table3[[#This Row],[Product Name]]," ",Table3[[#This Row],[Brand Name]])</f>
        <v>Sneakers Nike</v>
      </c>
      <c r="E3" s="14" t="s">
        <v>30</v>
      </c>
      <c r="F3" s="14" t="s">
        <v>31</v>
      </c>
      <c r="G3" s="42">
        <f t="shared" si="0"/>
        <v>80</v>
      </c>
      <c r="H3" s="14">
        <v>80</v>
      </c>
      <c r="I3" s="14">
        <v>15</v>
      </c>
      <c r="J3" s="15" t="str">
        <f t="shared" ref="J3:J32" si="1">IF(K3="",IF(E3="Sneakers","Fashion",IF(E3="Coffee Maker","Kitchen",IF(E3="Fitness Tracker","Electronics","Outdoor"))),K3)</f>
        <v>Fashion</v>
      </c>
      <c r="K3" s="15" t="s">
        <v>32</v>
      </c>
    </row>
    <row r="4" spans="1:11" x14ac:dyDescent="0.25">
      <c r="A4" s="24" t="s">
        <v>120</v>
      </c>
      <c r="B4" s="24" t="str">
        <f>LEFT(Table3[[#This Row],[Product ID]],6)</f>
        <v>03-MAR</v>
      </c>
      <c r="C4" s="10" t="s">
        <v>33</v>
      </c>
      <c r="D4" s="10" t="str">
        <f>CONCATENATE(Table3[[#This Row],[Product Name]]," ",Table3[[#This Row],[Brand Name]])</f>
        <v>Coffee Maker Keurig</v>
      </c>
      <c r="E4" s="11" t="s">
        <v>34</v>
      </c>
      <c r="F4" s="11" t="s">
        <v>35</v>
      </c>
      <c r="G4" s="41">
        <f t="shared" si="0"/>
        <v>130</v>
      </c>
      <c r="H4" s="11">
        <v>130</v>
      </c>
      <c r="I4" s="11">
        <v>40</v>
      </c>
      <c r="J4" s="12" t="str">
        <f t="shared" si="1"/>
        <v>Kitchen</v>
      </c>
      <c r="K4" s="12" t="s">
        <v>36</v>
      </c>
    </row>
    <row r="5" spans="1:11" x14ac:dyDescent="0.25">
      <c r="A5" s="24" t="s">
        <v>120</v>
      </c>
      <c r="B5" s="24" t="str">
        <f>LEFT(Table3[[#This Row],[Product ID]],6)</f>
        <v>11-APR</v>
      </c>
      <c r="C5" s="13" t="s">
        <v>37</v>
      </c>
      <c r="D5" s="13" t="str">
        <f>CONCATENATE(Table3[[#This Row],[Product Name]]," ",Table3[[#This Row],[Brand Name]])</f>
        <v>Smartphone Samsung</v>
      </c>
      <c r="E5" s="14" t="s">
        <v>96</v>
      </c>
      <c r="F5" s="14" t="s">
        <v>39</v>
      </c>
      <c r="G5" s="42">
        <f t="shared" si="0"/>
        <v>900</v>
      </c>
      <c r="H5" s="14">
        <v>900</v>
      </c>
      <c r="I5" s="14">
        <v>25</v>
      </c>
      <c r="J5" s="15" t="str">
        <f t="shared" si="1"/>
        <v>Electronics</v>
      </c>
      <c r="K5" s="15" t="s">
        <v>28</v>
      </c>
    </row>
    <row r="6" spans="1:11" x14ac:dyDescent="0.25">
      <c r="A6" s="24" t="s">
        <v>120</v>
      </c>
      <c r="B6" s="24" t="str">
        <f>LEFT(Table3[[#This Row],[Product ID]],6)</f>
        <v>22-MAY</v>
      </c>
      <c r="C6" s="10" t="s">
        <v>40</v>
      </c>
      <c r="D6" s="10" t="str">
        <f>CONCATENATE(Table3[[#This Row],[Product Name]]," ",Table3[[#This Row],[Brand Name]])</f>
        <v>Backpack North Face</v>
      </c>
      <c r="E6" s="11" t="s">
        <v>41</v>
      </c>
      <c r="F6" s="11" t="s">
        <v>42</v>
      </c>
      <c r="G6" s="41">
        <f t="shared" si="0"/>
        <v>70</v>
      </c>
      <c r="H6" s="11">
        <v>70</v>
      </c>
      <c r="I6" s="11">
        <v>20</v>
      </c>
      <c r="J6" s="12" t="str">
        <f t="shared" si="1"/>
        <v>Outdoor</v>
      </c>
      <c r="K6" s="12"/>
    </row>
    <row r="7" spans="1:11" x14ac:dyDescent="0.25">
      <c r="A7" s="24" t="s">
        <v>121</v>
      </c>
      <c r="B7" s="24" t="str">
        <f>LEFT(Table3[[#This Row],[Product ID]],6)</f>
        <v>07-JUN</v>
      </c>
      <c r="C7" s="13" t="s">
        <v>43</v>
      </c>
      <c r="D7" s="13" t="str">
        <f>CONCATENATE(Table3[[#This Row],[Product Name]]," ",Table3[[#This Row],[Brand Name]])</f>
        <v>Headphones Sony</v>
      </c>
      <c r="E7" s="14" t="s">
        <v>44</v>
      </c>
      <c r="F7" s="14" t="s">
        <v>45</v>
      </c>
      <c r="G7" s="42">
        <f t="shared" si="0"/>
        <v>555.83333333333337</v>
      </c>
      <c r="H7" s="14"/>
      <c r="I7" s="14">
        <v>45</v>
      </c>
      <c r="J7" s="15" t="str">
        <f t="shared" si="1"/>
        <v>Electronics</v>
      </c>
      <c r="K7" s="15" t="s">
        <v>28</v>
      </c>
    </row>
    <row r="8" spans="1:11" x14ac:dyDescent="0.25">
      <c r="A8" s="24" t="s">
        <v>121</v>
      </c>
      <c r="B8" s="24" t="str">
        <f>LEFT(Table3[[#This Row],[Product ID]],6)</f>
        <v>19-JUL</v>
      </c>
      <c r="C8" s="10" t="s">
        <v>47</v>
      </c>
      <c r="D8" s="10" t="str">
        <f>CONCATENATE(Table3[[#This Row],[Product Name]]," ",Table3[[#This Row],[Brand Name]])</f>
        <v>T-shirt Adidas</v>
      </c>
      <c r="E8" s="11" t="s">
        <v>48</v>
      </c>
      <c r="F8" s="11" t="s">
        <v>49</v>
      </c>
      <c r="G8" s="41">
        <f t="shared" si="0"/>
        <v>30</v>
      </c>
      <c r="H8" s="11">
        <v>30</v>
      </c>
      <c r="I8" s="11">
        <v>5</v>
      </c>
      <c r="J8" s="12" t="str">
        <f t="shared" si="1"/>
        <v>Fashion</v>
      </c>
      <c r="K8" s="12" t="s">
        <v>32</v>
      </c>
    </row>
    <row r="9" spans="1:11" x14ac:dyDescent="0.25">
      <c r="A9" s="24" t="s">
        <v>121</v>
      </c>
      <c r="B9" s="24" t="str">
        <f>LEFT(Table3[[#This Row],[Product ID]],6)</f>
        <v>23-AUG</v>
      </c>
      <c r="C9" s="13" t="s">
        <v>50</v>
      </c>
      <c r="D9" s="13" t="str">
        <f>CONCATENATE(Table3[[#This Row],[Product Name]]," ",Table3[[#This Row],[Brand Name]])</f>
        <v>Blender Ninja</v>
      </c>
      <c r="E9" s="14" t="s">
        <v>51</v>
      </c>
      <c r="F9" s="14" t="s">
        <v>52</v>
      </c>
      <c r="G9" s="42">
        <f t="shared" si="0"/>
        <v>90</v>
      </c>
      <c r="H9" s="14">
        <v>90</v>
      </c>
      <c r="I9" s="14">
        <v>35</v>
      </c>
      <c r="J9" s="15" t="str">
        <f t="shared" si="1"/>
        <v>Kitchen</v>
      </c>
      <c r="K9" s="15" t="s">
        <v>36</v>
      </c>
    </row>
    <row r="10" spans="1:11" x14ac:dyDescent="0.25">
      <c r="A10" s="24" t="s">
        <v>121</v>
      </c>
      <c r="B10" s="24" t="str">
        <f>LEFT(Table3[[#This Row],[Product ID]],6)</f>
        <v>05-SEP</v>
      </c>
      <c r="C10" s="10" t="s">
        <v>53</v>
      </c>
      <c r="D10" s="10" t="str">
        <f>CONCATENATE(Table3[[#This Row],[Product Name]]," ",Table3[[#This Row],[Brand Name]])</f>
        <v>Tablet Apple</v>
      </c>
      <c r="E10" s="11" t="s">
        <v>54</v>
      </c>
      <c r="F10" s="11" t="s">
        <v>55</v>
      </c>
      <c r="G10" s="41">
        <f t="shared" si="0"/>
        <v>500</v>
      </c>
      <c r="H10" s="11">
        <v>500</v>
      </c>
      <c r="I10" s="11">
        <v>50</v>
      </c>
      <c r="J10" s="12" t="str">
        <f t="shared" si="1"/>
        <v>Electronics</v>
      </c>
      <c r="K10" s="12" t="s">
        <v>28</v>
      </c>
    </row>
    <row r="11" spans="1:11" x14ac:dyDescent="0.25">
      <c r="A11" s="24" t="s">
        <v>121</v>
      </c>
      <c r="B11" s="24" t="str">
        <f>LEFT(Table3[[#This Row],[Product ID]],6)</f>
        <v>14-OCT</v>
      </c>
      <c r="C11" s="13" t="s">
        <v>56</v>
      </c>
      <c r="D11" s="13" t="str">
        <f>CONCATENATE(Table3[[#This Row],[Product Name]]," ",Table3[[#This Row],[Brand Name]])</f>
        <v>Hiking Boots Timberland</v>
      </c>
      <c r="E11" s="14" t="s">
        <v>57</v>
      </c>
      <c r="F11" s="14" t="s">
        <v>58</v>
      </c>
      <c r="G11" s="42">
        <f t="shared" si="0"/>
        <v>130</v>
      </c>
      <c r="H11" s="14">
        <v>130</v>
      </c>
      <c r="I11" s="14">
        <v>10</v>
      </c>
      <c r="J11" s="15" t="str">
        <f t="shared" si="1"/>
        <v>Outdoor</v>
      </c>
      <c r="K11" s="15" t="s">
        <v>59</v>
      </c>
    </row>
    <row r="12" spans="1:11" x14ac:dyDescent="0.25">
      <c r="A12" s="24" t="s">
        <v>122</v>
      </c>
      <c r="B12" s="24" t="str">
        <f>LEFT(Table3[[#This Row],[Product ID]],6)</f>
        <v>17-JUN</v>
      </c>
      <c r="C12" s="10" t="s">
        <v>60</v>
      </c>
      <c r="D12" s="10" t="str">
        <f>CONCATENATE(Table3[[#This Row],[Product Name]]," ",Table3[[#This Row],[Brand Name]])</f>
        <v>Laptop HP</v>
      </c>
      <c r="E12" s="11" t="s">
        <v>61</v>
      </c>
      <c r="F12" s="11" t="s">
        <v>62</v>
      </c>
      <c r="G12" s="41">
        <f t="shared" si="0"/>
        <v>950</v>
      </c>
      <c r="H12" s="11">
        <v>950</v>
      </c>
      <c r="I12" s="11">
        <v>25</v>
      </c>
      <c r="J12" s="12" t="str">
        <f t="shared" si="1"/>
        <v>Electronics</v>
      </c>
      <c r="K12" s="12" t="s">
        <v>28</v>
      </c>
    </row>
    <row r="13" spans="1:11" x14ac:dyDescent="0.25">
      <c r="A13" s="24" t="s">
        <v>123</v>
      </c>
      <c r="B13" s="24" t="str">
        <f>LEFT(Table3[[#This Row],[Product ID]],6)</f>
        <v>25-NOV</v>
      </c>
      <c r="C13" s="13" t="s">
        <v>63</v>
      </c>
      <c r="D13" s="13" t="str">
        <f>CONCATENATE(Table3[[#This Row],[Product Name]]," ",Table3[[#This Row],[Brand Name]])</f>
        <v>Sneakers Adidas</v>
      </c>
      <c r="E13" s="14" t="s">
        <v>30</v>
      </c>
      <c r="F13" s="14" t="s">
        <v>49</v>
      </c>
      <c r="G13" s="42">
        <f t="shared" si="0"/>
        <v>90</v>
      </c>
      <c r="H13" s="14">
        <v>90</v>
      </c>
      <c r="I13" s="14">
        <v>40</v>
      </c>
      <c r="J13" s="15" t="str">
        <f t="shared" si="1"/>
        <v>Fashion</v>
      </c>
      <c r="K13" s="15"/>
    </row>
    <row r="14" spans="1:11" x14ac:dyDescent="0.25">
      <c r="A14" s="24" t="s">
        <v>124</v>
      </c>
      <c r="B14" s="24" t="str">
        <f>LEFT(Table3[[#This Row],[Product ID]],6)</f>
        <v>08-DEC</v>
      </c>
      <c r="C14" s="10" t="s">
        <v>64</v>
      </c>
      <c r="D14" s="10" t="str">
        <f>CONCATENATE(Table3[[#This Row],[Product Name]]," ",Table3[[#This Row],[Brand Name]])</f>
        <v>Coffee Maker Nespresso</v>
      </c>
      <c r="E14" s="11" t="s">
        <v>34</v>
      </c>
      <c r="F14" s="11" t="s">
        <v>65</v>
      </c>
      <c r="G14" s="41">
        <f t="shared" si="0"/>
        <v>120</v>
      </c>
      <c r="H14" s="11">
        <v>120</v>
      </c>
      <c r="I14" s="11">
        <v>35</v>
      </c>
      <c r="J14" s="12" t="str">
        <f t="shared" si="1"/>
        <v>Kitchen</v>
      </c>
      <c r="K14" s="12"/>
    </row>
    <row r="15" spans="1:11" x14ac:dyDescent="0.25">
      <c r="A15" s="24" t="s">
        <v>125</v>
      </c>
      <c r="B15" s="24" t="str">
        <f>LEFT(Table3[[#This Row],[Product ID]],6)</f>
        <v>18-FEB</v>
      </c>
      <c r="C15" s="13" t="s">
        <v>66</v>
      </c>
      <c r="D15" s="13" t="str">
        <f>CONCATENATE(Table3[[#This Row],[Product Name]]," ",Table3[[#This Row],[Brand Name]])</f>
        <v>Smartwatch Fitbit</v>
      </c>
      <c r="E15" s="14" t="s">
        <v>67</v>
      </c>
      <c r="F15" s="14" t="s">
        <v>68</v>
      </c>
      <c r="G15" s="42">
        <f t="shared" si="0"/>
        <v>150</v>
      </c>
      <c r="H15" s="14">
        <v>150</v>
      </c>
      <c r="I15" s="14">
        <v>15</v>
      </c>
      <c r="J15" s="15" t="str">
        <f t="shared" si="1"/>
        <v>Electronics</v>
      </c>
      <c r="K15" s="15" t="s">
        <v>28</v>
      </c>
    </row>
    <row r="16" spans="1:11" x14ac:dyDescent="0.25">
      <c r="A16" s="24" t="s">
        <v>126</v>
      </c>
      <c r="B16" s="24" t="str">
        <f>LEFT(Table3[[#This Row],[Product ID]],6)</f>
        <v>16-APR</v>
      </c>
      <c r="C16" s="10" t="s">
        <v>69</v>
      </c>
      <c r="D16" s="10" t="str">
        <f>CONCATENATE(Table3[[#This Row],[Product Name]]," ",Table3[[#This Row],[Brand Name]])</f>
        <v>Headphones Bose</v>
      </c>
      <c r="E16" s="11" t="s">
        <v>44</v>
      </c>
      <c r="F16" s="11" t="s">
        <v>71</v>
      </c>
      <c r="G16" s="41">
        <f t="shared" si="0"/>
        <v>250</v>
      </c>
      <c r="H16" s="11">
        <v>250</v>
      </c>
      <c r="I16" s="11">
        <v>20</v>
      </c>
      <c r="J16" s="12" t="str">
        <f t="shared" si="1"/>
        <v>Electronics</v>
      </c>
      <c r="K16" s="12" t="s">
        <v>28</v>
      </c>
    </row>
    <row r="17" spans="1:11" x14ac:dyDescent="0.25">
      <c r="A17" s="24" t="s">
        <v>125</v>
      </c>
      <c r="B17" s="24" t="str">
        <f>LEFT(Table3[[#This Row],[Product ID]],6)</f>
        <v>21-AUG</v>
      </c>
      <c r="C17" s="13" t="s">
        <v>72</v>
      </c>
      <c r="D17" s="13" t="str">
        <f>CONCATENATE(Table3[[#This Row],[Product Name]]," ",Table3[[#This Row],[Brand Name]])</f>
        <v>Laptop Bag Samsonite</v>
      </c>
      <c r="E17" s="14" t="s">
        <v>73</v>
      </c>
      <c r="F17" s="14" t="s">
        <v>74</v>
      </c>
      <c r="G17" s="42">
        <f t="shared" si="0"/>
        <v>50</v>
      </c>
      <c r="H17" s="14">
        <v>50</v>
      </c>
      <c r="I17" s="14">
        <v>35</v>
      </c>
      <c r="J17" s="15" t="str">
        <f t="shared" si="1"/>
        <v>Accessories</v>
      </c>
      <c r="K17" s="15" t="s">
        <v>75</v>
      </c>
    </row>
    <row r="18" spans="1:11" x14ac:dyDescent="0.25">
      <c r="A18" s="24" t="s">
        <v>127</v>
      </c>
      <c r="B18" s="24" t="str">
        <f>LEFT(Table3[[#This Row],[Product ID]],6)</f>
        <v>20-AUG</v>
      </c>
      <c r="C18" s="10" t="s">
        <v>76</v>
      </c>
      <c r="D18" s="10" t="str">
        <f>CONCATENATE(Table3[[#This Row],[Product Name]]," ",Table3[[#This Row],[Brand Name]])</f>
        <v>Smartwatch Huawei</v>
      </c>
      <c r="E18" s="11" t="s">
        <v>67</v>
      </c>
      <c r="F18" s="11" t="s">
        <v>77</v>
      </c>
      <c r="G18" s="41">
        <f t="shared" si="0"/>
        <v>160</v>
      </c>
      <c r="H18" s="11">
        <v>160</v>
      </c>
      <c r="I18" s="11">
        <v>15</v>
      </c>
      <c r="J18" s="12" t="str">
        <f t="shared" si="1"/>
        <v>Electronics</v>
      </c>
      <c r="K18" s="12" t="s">
        <v>28</v>
      </c>
    </row>
    <row r="19" spans="1:11" x14ac:dyDescent="0.25">
      <c r="A19" s="24" t="s">
        <v>128</v>
      </c>
      <c r="B19" s="24" t="str">
        <f>LEFT(Table3[[#This Row],[Product ID]],6)</f>
        <v>27-JAN</v>
      </c>
      <c r="C19" s="13" t="s">
        <v>78</v>
      </c>
      <c r="D19" s="13" t="str">
        <f>CONCATENATE(Table3[[#This Row],[Product Name]]," ",Table3[[#This Row],[Brand Name]])</f>
        <v>Laptop Asus</v>
      </c>
      <c r="E19" s="14" t="s">
        <v>61</v>
      </c>
      <c r="F19" s="14" t="s">
        <v>79</v>
      </c>
      <c r="G19" s="42">
        <f t="shared" si="0"/>
        <v>980</v>
      </c>
      <c r="H19" s="14">
        <v>980</v>
      </c>
      <c r="I19" s="14">
        <v>10</v>
      </c>
      <c r="J19" s="15" t="str">
        <f t="shared" si="1"/>
        <v>Electronics</v>
      </c>
      <c r="K19" s="15" t="s">
        <v>28</v>
      </c>
    </row>
    <row r="20" spans="1:11" x14ac:dyDescent="0.25">
      <c r="A20" s="24" t="s">
        <v>121</v>
      </c>
      <c r="B20" s="24" t="str">
        <f>LEFT(Table3[[#This Row],[Product ID]],6)</f>
        <v>01-MAR</v>
      </c>
      <c r="C20" s="10" t="s">
        <v>80</v>
      </c>
      <c r="D20" s="10" t="str">
        <f>CONCATENATE(Table3[[#This Row],[Product Name]]," ",Table3[[#This Row],[Brand Name]])</f>
        <v>Sunglasses Oakley</v>
      </c>
      <c r="E20" s="11" t="s">
        <v>81</v>
      </c>
      <c r="F20" s="11" t="s">
        <v>82</v>
      </c>
      <c r="G20" s="41">
        <f t="shared" si="0"/>
        <v>150</v>
      </c>
      <c r="H20" s="11">
        <v>150</v>
      </c>
      <c r="I20" s="11">
        <v>15</v>
      </c>
      <c r="J20" s="12" t="str">
        <f t="shared" si="1"/>
        <v>Fashion</v>
      </c>
      <c r="K20" s="12" t="s">
        <v>32</v>
      </c>
    </row>
    <row r="21" spans="1:11" x14ac:dyDescent="0.25">
      <c r="A21" s="24" t="s">
        <v>120</v>
      </c>
      <c r="B21" s="24" t="str">
        <f>LEFT(Table3[[#This Row],[Product ID]],6)</f>
        <v>14-AUG</v>
      </c>
      <c r="C21" s="13" t="s">
        <v>83</v>
      </c>
      <c r="D21" s="13" t="str">
        <f>CONCATENATE(Table3[[#This Row],[Product Name]]," ",Table3[[#This Row],[Brand Name]])</f>
        <v>Camping Tent Coleman</v>
      </c>
      <c r="E21" s="14" t="s">
        <v>84</v>
      </c>
      <c r="F21" s="14" t="s">
        <v>85</v>
      </c>
      <c r="G21" s="42">
        <f t="shared" si="0"/>
        <v>100</v>
      </c>
      <c r="H21" s="14"/>
      <c r="I21" s="14">
        <v>10</v>
      </c>
      <c r="J21" s="15" t="str">
        <f t="shared" si="1"/>
        <v>Outdoor</v>
      </c>
      <c r="K21" s="15" t="s">
        <v>59</v>
      </c>
    </row>
    <row r="22" spans="1:11" x14ac:dyDescent="0.25">
      <c r="A22" s="24" t="s">
        <v>129</v>
      </c>
      <c r="B22" s="24" t="str">
        <f>LEFT(Table3[[#This Row],[Product ID]],6)</f>
        <v>14-MAY</v>
      </c>
      <c r="C22" s="10" t="s">
        <v>86</v>
      </c>
      <c r="D22" s="10" t="str">
        <f>CONCATENATE(Table3[[#This Row],[Product Name]]," ",Table3[[#This Row],[Brand Name]])</f>
        <v>Camera Nikon</v>
      </c>
      <c r="E22" s="11" t="s">
        <v>87</v>
      </c>
      <c r="F22" s="11" t="s">
        <v>88</v>
      </c>
      <c r="G22" s="41">
        <f t="shared" si="0"/>
        <v>700</v>
      </c>
      <c r="H22" s="11">
        <v>700</v>
      </c>
      <c r="I22" s="11">
        <v>50</v>
      </c>
      <c r="J22" s="12" t="str">
        <f t="shared" si="1"/>
        <v>Electronics</v>
      </c>
      <c r="K22" s="12" t="s">
        <v>28</v>
      </c>
    </row>
    <row r="23" spans="1:11" x14ac:dyDescent="0.25">
      <c r="A23" s="24" t="s">
        <v>125</v>
      </c>
      <c r="B23" s="24" t="str">
        <f>LEFT(Table3[[#This Row],[Product ID]],6)</f>
        <v>09-JAN</v>
      </c>
      <c r="C23" s="13" t="s">
        <v>89</v>
      </c>
      <c r="D23" s="13" t="str">
        <f>CONCATENATE(Table3[[#This Row],[Product Name]]," ",Table3[[#This Row],[Brand Name]])</f>
        <v>Microwave Panasonic</v>
      </c>
      <c r="E23" s="14" t="s">
        <v>90</v>
      </c>
      <c r="F23" s="14" t="s">
        <v>91</v>
      </c>
      <c r="G23" s="42">
        <f t="shared" si="0"/>
        <v>80</v>
      </c>
      <c r="H23" s="14">
        <v>80</v>
      </c>
      <c r="I23" s="14">
        <v>20</v>
      </c>
      <c r="J23" s="15" t="str">
        <f t="shared" si="1"/>
        <v>Kitchen</v>
      </c>
      <c r="K23" s="15" t="s">
        <v>36</v>
      </c>
    </row>
    <row r="24" spans="1:11" x14ac:dyDescent="0.25">
      <c r="A24" s="24" t="s">
        <v>130</v>
      </c>
      <c r="B24" s="24" t="str">
        <f>LEFT(Table3[[#This Row],[Product ID]],6)</f>
        <v>19-JUL</v>
      </c>
      <c r="C24" s="10" t="s">
        <v>92</v>
      </c>
      <c r="D24" s="10" t="str">
        <f>CONCATENATE(Table3[[#This Row],[Product Name]]," ",Table3[[#This Row],[Brand Name]])</f>
        <v>Fitness Tracker Xiaomi</v>
      </c>
      <c r="E24" s="11" t="s">
        <v>93</v>
      </c>
      <c r="F24" s="11" t="s">
        <v>94</v>
      </c>
      <c r="G24" s="41">
        <f t="shared" si="0"/>
        <v>150</v>
      </c>
      <c r="H24" s="11">
        <v>150</v>
      </c>
      <c r="I24" s="11">
        <v>30</v>
      </c>
      <c r="J24" s="12" t="str">
        <f t="shared" si="1"/>
        <v>Electronics</v>
      </c>
      <c r="K24" s="12"/>
    </row>
    <row r="25" spans="1:11" x14ac:dyDescent="0.25">
      <c r="A25" s="24" t="s">
        <v>125</v>
      </c>
      <c r="B25" s="24" t="str">
        <f>LEFT(Table3[[#This Row],[Product ID]],6)</f>
        <v>29-SEP</v>
      </c>
      <c r="C25" s="10" t="s">
        <v>95</v>
      </c>
      <c r="D25" s="10" t="str">
        <f>CONCATENATE(Table3[[#This Row],[Product Name]]," ",Table3[[#This Row],[Brand Name]])</f>
        <v>Smartphone Google</v>
      </c>
      <c r="E25" s="11" t="s">
        <v>96</v>
      </c>
      <c r="F25" s="11" t="s">
        <v>97</v>
      </c>
      <c r="G25" s="41">
        <f t="shared" si="0"/>
        <v>800</v>
      </c>
      <c r="H25" s="11">
        <v>800</v>
      </c>
      <c r="I25" s="11">
        <v>45</v>
      </c>
      <c r="J25" s="12" t="str">
        <f t="shared" si="1"/>
        <v>Electronics</v>
      </c>
      <c r="K25" s="12" t="s">
        <v>28</v>
      </c>
    </row>
    <row r="26" spans="1:11" x14ac:dyDescent="0.25">
      <c r="A26" s="24" t="s">
        <v>125</v>
      </c>
      <c r="B26" s="24" t="str">
        <f>LEFT(Table3[[#This Row],[Product ID]],6)</f>
        <v>03-JUN</v>
      </c>
      <c r="C26" s="13" t="s">
        <v>98</v>
      </c>
      <c r="D26" s="13" t="str">
        <f>CONCATENATE(Table3[[#This Row],[Product Name]]," ",Table3[[#This Row],[Brand Name]])</f>
        <v>Sunglasses Ray-Ban</v>
      </c>
      <c r="E26" s="14" t="s">
        <v>81</v>
      </c>
      <c r="F26" s="14" t="s">
        <v>99</v>
      </c>
      <c r="G26" s="42">
        <f t="shared" si="0"/>
        <v>76.666666666666671</v>
      </c>
      <c r="H26" s="14"/>
      <c r="I26" s="14">
        <v>25</v>
      </c>
      <c r="J26" s="15" t="str">
        <f t="shared" si="1"/>
        <v>Fashion</v>
      </c>
      <c r="K26" s="15" t="s">
        <v>32</v>
      </c>
    </row>
    <row r="27" spans="1:11" x14ac:dyDescent="0.25">
      <c r="A27" s="24" t="s">
        <v>125</v>
      </c>
      <c r="B27" s="24" t="str">
        <f>LEFT(Table3[[#This Row],[Product ID]],6)</f>
        <v>11-JUL</v>
      </c>
      <c r="C27" s="10" t="s">
        <v>100</v>
      </c>
      <c r="D27" s="10" t="str">
        <f>CONCATENATE(Table3[[#This Row],[Product Name]]," ",Table3[[#This Row],[Brand Name]])</f>
        <v>Blender Vitamix</v>
      </c>
      <c r="E27" s="11" t="s">
        <v>51</v>
      </c>
      <c r="F27" s="11" t="s">
        <v>101</v>
      </c>
      <c r="G27" s="41">
        <f t="shared" si="0"/>
        <v>400</v>
      </c>
      <c r="H27" s="11">
        <v>400</v>
      </c>
      <c r="I27" s="11">
        <v>40</v>
      </c>
      <c r="J27" s="12" t="str">
        <f t="shared" si="1"/>
        <v>Kitchen</v>
      </c>
      <c r="K27" s="12" t="s">
        <v>36</v>
      </c>
    </row>
    <row r="28" spans="1:11" x14ac:dyDescent="0.25">
      <c r="A28" s="24" t="s">
        <v>125</v>
      </c>
      <c r="B28" s="24" t="str">
        <f>LEFT(Table3[[#This Row],[Product ID]],6)</f>
        <v>07-MAR</v>
      </c>
      <c r="C28" s="10" t="s">
        <v>102</v>
      </c>
      <c r="D28" s="10" t="str">
        <f>CONCATENATE(Table3[[#This Row],[Product Name]]," ",Table3[[#This Row],[Brand Name]])</f>
        <v>Dress Zara</v>
      </c>
      <c r="E28" s="11" t="s">
        <v>103</v>
      </c>
      <c r="F28" s="11" t="s">
        <v>104</v>
      </c>
      <c r="G28" s="41">
        <f t="shared" si="0"/>
        <v>60</v>
      </c>
      <c r="H28" s="11">
        <v>60</v>
      </c>
      <c r="I28" s="11">
        <v>30</v>
      </c>
      <c r="J28" s="12" t="str">
        <f t="shared" si="1"/>
        <v>Fashion</v>
      </c>
      <c r="K28" s="12" t="s">
        <v>32</v>
      </c>
    </row>
    <row r="29" spans="1:11" x14ac:dyDescent="0.25">
      <c r="A29" s="24" t="s">
        <v>125</v>
      </c>
      <c r="B29" s="24" t="str">
        <f>LEFT(Table3[[#This Row],[Product ID]],6)</f>
        <v>13-APR</v>
      </c>
      <c r="C29" s="13" t="s">
        <v>105</v>
      </c>
      <c r="D29" s="13" t="str">
        <f>CONCATENATE(Table3[[#This Row],[Product Name]]," ",Table3[[#This Row],[Brand Name]])</f>
        <v>Toaster Hamilton</v>
      </c>
      <c r="E29" s="14" t="s">
        <v>106</v>
      </c>
      <c r="F29" s="14" t="s">
        <v>107</v>
      </c>
      <c r="G29" s="42">
        <f t="shared" si="0"/>
        <v>40</v>
      </c>
      <c r="H29" s="14">
        <v>40</v>
      </c>
      <c r="I29" s="14">
        <v>10</v>
      </c>
      <c r="J29" s="15" t="str">
        <f t="shared" si="1"/>
        <v>Kitchen</v>
      </c>
      <c r="K29" s="15" t="s">
        <v>36</v>
      </c>
    </row>
    <row r="30" spans="1:11" x14ac:dyDescent="0.25">
      <c r="A30" s="24" t="s">
        <v>125</v>
      </c>
      <c r="B30" s="24" t="str">
        <f>LEFT(Table3[[#This Row],[Product ID]],6)</f>
        <v>24-MAY</v>
      </c>
      <c r="C30" s="10" t="s">
        <v>108</v>
      </c>
      <c r="D30" s="10" t="str">
        <f>CONCATENATE(Table3[[#This Row],[Product Name]]," ",Table3[[#This Row],[Brand Name]])</f>
        <v>Fitness Tracker Garmin</v>
      </c>
      <c r="E30" s="11" t="s">
        <v>93</v>
      </c>
      <c r="F30" s="11" t="s">
        <v>109</v>
      </c>
      <c r="G30" s="41">
        <f t="shared" si="0"/>
        <v>130</v>
      </c>
      <c r="H30" s="11">
        <v>130</v>
      </c>
      <c r="I30" s="11">
        <v>5</v>
      </c>
      <c r="J30" s="12" t="str">
        <f t="shared" si="1"/>
        <v>Electronics</v>
      </c>
      <c r="K30" s="12" t="s">
        <v>28</v>
      </c>
    </row>
    <row r="31" spans="1:11" x14ac:dyDescent="0.25">
      <c r="A31" s="24" t="s">
        <v>125</v>
      </c>
      <c r="B31" s="24" t="str">
        <f>LEFT(Table3[[#This Row],[Product ID]],6)</f>
        <v>02-DEC</v>
      </c>
      <c r="C31" s="13" t="s">
        <v>110</v>
      </c>
      <c r="D31" s="13" t="str">
        <f>CONCATENATE(Table3[[#This Row],[Product Name]]," ",Table3[[#This Row],[Brand Name]])</f>
        <v>Jeans Levi's</v>
      </c>
      <c r="E31" s="14" t="s">
        <v>111</v>
      </c>
      <c r="F31" s="14" t="s">
        <v>112</v>
      </c>
      <c r="G31" s="42">
        <f t="shared" si="0"/>
        <v>50</v>
      </c>
      <c r="H31" s="14">
        <v>50</v>
      </c>
      <c r="I31" s="14">
        <v>50</v>
      </c>
      <c r="J31" s="15" t="str">
        <f t="shared" si="1"/>
        <v>Fashion</v>
      </c>
      <c r="K31" s="15" t="s">
        <v>32</v>
      </c>
    </row>
    <row r="32" spans="1:11" x14ac:dyDescent="0.25">
      <c r="A32" s="24" t="s">
        <v>131</v>
      </c>
      <c r="B32" s="24" t="str">
        <f>LEFT(Table3[[#This Row],[Product ID]],6)</f>
        <v>09-JUL</v>
      </c>
      <c r="C32" s="13" t="s">
        <v>113</v>
      </c>
      <c r="D32" s="13" t="str">
        <f>CONCATENATE(Table3[[#This Row],[Product Name]]," ",Table3[[#This Row],[Brand Name]])</f>
        <v>Watch Casio</v>
      </c>
      <c r="E32" s="14" t="s">
        <v>114</v>
      </c>
      <c r="F32" s="14" t="s">
        <v>115</v>
      </c>
      <c r="G32" s="42">
        <f t="shared" si="0"/>
        <v>100</v>
      </c>
      <c r="H32" s="14">
        <v>100</v>
      </c>
      <c r="I32" s="14">
        <v>20</v>
      </c>
      <c r="J32" s="15" t="str">
        <f t="shared" si="1"/>
        <v>Accessories</v>
      </c>
      <c r="K32" s="15" t="s">
        <v>75</v>
      </c>
    </row>
  </sheetData>
  <conditionalFormatting sqref="G2:G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ellIs" dxfId="3" priority="1" operator="equal">
      <formula>"Electronics"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4DC3-60E2-47EA-890F-21220152FF31}">
  <dimension ref="A1:I32"/>
  <sheetViews>
    <sheetView tabSelected="1" workbookViewId="0">
      <selection activeCell="H7" sqref="H7"/>
    </sheetView>
  </sheetViews>
  <sheetFormatPr defaultRowHeight="13.2" x14ac:dyDescent="0.25"/>
  <cols>
    <col min="1" max="1" width="15.5546875" bestFit="1" customWidth="1"/>
    <col min="2" max="3" width="21.44140625" bestFit="1" customWidth="1"/>
    <col min="4" max="4" width="9.88671875" bestFit="1" customWidth="1"/>
    <col min="5" max="5" width="13.44140625" bestFit="1" customWidth="1"/>
    <col min="6" max="6" width="11.21875" bestFit="1" customWidth="1"/>
  </cols>
  <sheetData>
    <row r="1" spans="1:9" x14ac:dyDescent="0.25">
      <c r="A1" s="26" t="s">
        <v>119</v>
      </c>
      <c r="B1" s="27" t="s">
        <v>164</v>
      </c>
      <c r="C1" s="27" t="s">
        <v>117</v>
      </c>
      <c r="D1" s="27" t="s">
        <v>116</v>
      </c>
      <c r="E1" s="27" t="s">
        <v>23</v>
      </c>
      <c r="F1" s="33" t="s">
        <v>24</v>
      </c>
    </row>
    <row r="2" spans="1:9" ht="13.8" x14ac:dyDescent="0.25">
      <c r="A2" s="34" t="s">
        <v>120</v>
      </c>
      <c r="B2" s="28" t="s">
        <v>168</v>
      </c>
      <c r="C2" s="43" t="s">
        <v>132</v>
      </c>
      <c r="D2" s="37">
        <v>1000</v>
      </c>
      <c r="E2" s="29">
        <v>30</v>
      </c>
      <c r="F2" s="35" t="s">
        <v>28</v>
      </c>
      <c r="H2" s="39" t="s">
        <v>202</v>
      </c>
      <c r="I2" s="39"/>
    </row>
    <row r="3" spans="1:9" x14ac:dyDescent="0.25">
      <c r="A3" s="34" t="s">
        <v>120</v>
      </c>
      <c r="B3" s="28" t="s">
        <v>169</v>
      </c>
      <c r="C3" s="29" t="s">
        <v>133</v>
      </c>
      <c r="D3" s="37">
        <v>80</v>
      </c>
      <c r="E3" s="29">
        <v>15</v>
      </c>
      <c r="F3" s="35" t="s">
        <v>32</v>
      </c>
      <c r="H3" t="s">
        <v>200</v>
      </c>
    </row>
    <row r="4" spans="1:9" x14ac:dyDescent="0.25">
      <c r="A4" s="34" t="s">
        <v>120</v>
      </c>
      <c r="B4" s="28" t="s">
        <v>170</v>
      </c>
      <c r="C4" s="29" t="s">
        <v>134</v>
      </c>
      <c r="D4" s="37">
        <v>130</v>
      </c>
      <c r="E4" s="29">
        <v>40</v>
      </c>
      <c r="F4" s="35" t="s">
        <v>36</v>
      </c>
      <c r="H4" t="s">
        <v>201</v>
      </c>
    </row>
    <row r="5" spans="1:9" x14ac:dyDescent="0.25">
      <c r="A5" s="34" t="s">
        <v>120</v>
      </c>
      <c r="B5" s="28" t="s">
        <v>171</v>
      </c>
      <c r="C5" s="29" t="s">
        <v>135</v>
      </c>
      <c r="D5" s="37">
        <v>900</v>
      </c>
      <c r="E5" s="29">
        <v>25</v>
      </c>
      <c r="F5" s="35" t="s">
        <v>28</v>
      </c>
      <c r="H5" t="s">
        <v>165</v>
      </c>
    </row>
    <row r="6" spans="1:9" x14ac:dyDescent="0.25">
      <c r="A6" s="34" t="s">
        <v>120</v>
      </c>
      <c r="B6" s="28" t="s">
        <v>172</v>
      </c>
      <c r="C6" s="29" t="s">
        <v>136</v>
      </c>
      <c r="D6" s="37">
        <v>70</v>
      </c>
      <c r="E6" s="29">
        <v>20</v>
      </c>
      <c r="F6" s="35" t="s">
        <v>163</v>
      </c>
      <c r="H6" t="s">
        <v>166</v>
      </c>
    </row>
    <row r="7" spans="1:9" x14ac:dyDescent="0.25">
      <c r="A7" s="34" t="s">
        <v>121</v>
      </c>
      <c r="B7" s="28" t="s">
        <v>173</v>
      </c>
      <c r="C7" s="29" t="s">
        <v>137</v>
      </c>
      <c r="D7" s="37">
        <v>555.83333333333337</v>
      </c>
      <c r="E7" s="29">
        <v>45</v>
      </c>
      <c r="F7" s="35" t="s">
        <v>28</v>
      </c>
      <c r="H7" t="s">
        <v>167</v>
      </c>
    </row>
    <row r="8" spans="1:9" x14ac:dyDescent="0.25">
      <c r="A8" s="34" t="s">
        <v>121</v>
      </c>
      <c r="B8" s="28" t="s">
        <v>174</v>
      </c>
      <c r="C8" s="29" t="s">
        <v>138</v>
      </c>
      <c r="D8" s="37">
        <v>30</v>
      </c>
      <c r="E8" s="29">
        <v>5</v>
      </c>
      <c r="F8" s="35" t="s">
        <v>32</v>
      </c>
      <c r="H8" t="s">
        <v>198</v>
      </c>
    </row>
    <row r="9" spans="1:9" x14ac:dyDescent="0.25">
      <c r="A9" s="34" t="s">
        <v>121</v>
      </c>
      <c r="B9" s="28" t="s">
        <v>175</v>
      </c>
      <c r="C9" s="29" t="s">
        <v>139</v>
      </c>
      <c r="D9" s="37">
        <v>90</v>
      </c>
      <c r="E9" s="29">
        <v>35</v>
      </c>
      <c r="F9" s="35" t="s">
        <v>36</v>
      </c>
      <c r="H9" t="s">
        <v>199</v>
      </c>
    </row>
    <row r="10" spans="1:9" x14ac:dyDescent="0.25">
      <c r="A10" s="34" t="s">
        <v>121</v>
      </c>
      <c r="B10" s="28" t="s">
        <v>176</v>
      </c>
      <c r="C10" s="29" t="s">
        <v>140</v>
      </c>
      <c r="D10" s="37">
        <v>500</v>
      </c>
      <c r="E10" s="29">
        <v>50</v>
      </c>
      <c r="F10" s="35" t="s">
        <v>28</v>
      </c>
    </row>
    <row r="11" spans="1:9" x14ac:dyDescent="0.25">
      <c r="A11" s="34" t="s">
        <v>121</v>
      </c>
      <c r="B11" s="28" t="s">
        <v>177</v>
      </c>
      <c r="C11" s="29" t="s">
        <v>141</v>
      </c>
      <c r="D11" s="37">
        <v>130</v>
      </c>
      <c r="E11" s="29">
        <v>10</v>
      </c>
      <c r="F11" s="35" t="s">
        <v>59</v>
      </c>
    </row>
    <row r="12" spans="1:9" x14ac:dyDescent="0.25">
      <c r="A12" s="34" t="s">
        <v>122</v>
      </c>
      <c r="B12" s="28" t="s">
        <v>178</v>
      </c>
      <c r="C12" s="29" t="s">
        <v>142</v>
      </c>
      <c r="D12" s="37">
        <v>950</v>
      </c>
      <c r="E12" s="29">
        <v>25</v>
      </c>
      <c r="F12" s="35" t="s">
        <v>28</v>
      </c>
    </row>
    <row r="13" spans="1:9" x14ac:dyDescent="0.25">
      <c r="A13" s="34" t="s">
        <v>123</v>
      </c>
      <c r="B13" s="28" t="s">
        <v>179</v>
      </c>
      <c r="C13" s="29" t="s">
        <v>143</v>
      </c>
      <c r="D13" s="37">
        <v>90</v>
      </c>
      <c r="E13" s="29">
        <v>40</v>
      </c>
      <c r="F13" s="35" t="s">
        <v>32</v>
      </c>
    </row>
    <row r="14" spans="1:9" x14ac:dyDescent="0.25">
      <c r="A14" s="34" t="s">
        <v>124</v>
      </c>
      <c r="B14" s="28" t="s">
        <v>180</v>
      </c>
      <c r="C14" s="29" t="s">
        <v>144</v>
      </c>
      <c r="D14" s="37">
        <v>120</v>
      </c>
      <c r="E14" s="29">
        <v>35</v>
      </c>
      <c r="F14" s="35" t="s">
        <v>36</v>
      </c>
    </row>
    <row r="15" spans="1:9" x14ac:dyDescent="0.25">
      <c r="A15" s="34" t="s">
        <v>125</v>
      </c>
      <c r="B15" s="28" t="s">
        <v>181</v>
      </c>
      <c r="C15" s="29" t="s">
        <v>145</v>
      </c>
      <c r="D15" s="37">
        <v>150</v>
      </c>
      <c r="E15" s="29">
        <v>15</v>
      </c>
      <c r="F15" s="35" t="s">
        <v>28</v>
      </c>
    </row>
    <row r="16" spans="1:9" x14ac:dyDescent="0.25">
      <c r="A16" s="34" t="s">
        <v>126</v>
      </c>
      <c r="B16" s="28" t="s">
        <v>182</v>
      </c>
      <c r="C16" s="29" t="s">
        <v>146</v>
      </c>
      <c r="D16" s="37">
        <v>250</v>
      </c>
      <c r="E16" s="29">
        <v>20</v>
      </c>
      <c r="F16" s="35" t="s">
        <v>28</v>
      </c>
    </row>
    <row r="17" spans="1:6" x14ac:dyDescent="0.25">
      <c r="A17" s="34" t="s">
        <v>125</v>
      </c>
      <c r="B17" s="28" t="s">
        <v>183</v>
      </c>
      <c r="C17" s="29" t="s">
        <v>147</v>
      </c>
      <c r="D17" s="37">
        <v>50</v>
      </c>
      <c r="E17" s="29">
        <v>35</v>
      </c>
      <c r="F17" s="35" t="s">
        <v>75</v>
      </c>
    </row>
    <row r="18" spans="1:6" x14ac:dyDescent="0.25">
      <c r="A18" s="34" t="s">
        <v>127</v>
      </c>
      <c r="B18" s="28" t="s">
        <v>184</v>
      </c>
      <c r="C18" s="29" t="s">
        <v>148</v>
      </c>
      <c r="D18" s="37">
        <v>160</v>
      </c>
      <c r="E18" s="29">
        <v>15</v>
      </c>
      <c r="F18" s="35" t="s">
        <v>28</v>
      </c>
    </row>
    <row r="19" spans="1:6" x14ac:dyDescent="0.25">
      <c r="A19" s="34" t="s">
        <v>128</v>
      </c>
      <c r="B19" s="28" t="s">
        <v>185</v>
      </c>
      <c r="C19" s="29" t="s">
        <v>149</v>
      </c>
      <c r="D19" s="37">
        <v>980</v>
      </c>
      <c r="E19" s="29">
        <v>10</v>
      </c>
      <c r="F19" s="35" t="s">
        <v>28</v>
      </c>
    </row>
    <row r="20" spans="1:6" x14ac:dyDescent="0.25">
      <c r="A20" s="34" t="s">
        <v>121</v>
      </c>
      <c r="B20" s="28" t="s">
        <v>186</v>
      </c>
      <c r="C20" s="29" t="s">
        <v>150</v>
      </c>
      <c r="D20" s="37">
        <v>150</v>
      </c>
      <c r="E20" s="29">
        <v>15</v>
      </c>
      <c r="F20" s="35" t="s">
        <v>32</v>
      </c>
    </row>
    <row r="21" spans="1:6" x14ac:dyDescent="0.25">
      <c r="A21" s="34" t="s">
        <v>120</v>
      </c>
      <c r="B21" s="28" t="s">
        <v>187</v>
      </c>
      <c r="C21" s="29" t="s">
        <v>151</v>
      </c>
      <c r="D21" s="37">
        <v>100</v>
      </c>
      <c r="E21" s="29">
        <v>10</v>
      </c>
      <c r="F21" s="35" t="s">
        <v>59</v>
      </c>
    </row>
    <row r="22" spans="1:6" x14ac:dyDescent="0.25">
      <c r="A22" s="34" t="s">
        <v>129</v>
      </c>
      <c r="B22" s="28" t="s">
        <v>188</v>
      </c>
      <c r="C22" s="29" t="s">
        <v>152</v>
      </c>
      <c r="D22" s="37">
        <v>700</v>
      </c>
      <c r="E22" s="29">
        <v>50</v>
      </c>
      <c r="F22" s="35" t="s">
        <v>28</v>
      </c>
    </row>
    <row r="23" spans="1:6" x14ac:dyDescent="0.25">
      <c r="A23" s="34" t="s">
        <v>125</v>
      </c>
      <c r="B23" s="28" t="s">
        <v>189</v>
      </c>
      <c r="C23" s="29" t="s">
        <v>153</v>
      </c>
      <c r="D23" s="37">
        <v>80</v>
      </c>
      <c r="E23" s="29">
        <v>20</v>
      </c>
      <c r="F23" s="35" t="s">
        <v>36</v>
      </c>
    </row>
    <row r="24" spans="1:6" x14ac:dyDescent="0.25">
      <c r="A24" s="34" t="s">
        <v>130</v>
      </c>
      <c r="B24" s="28" t="s">
        <v>174</v>
      </c>
      <c r="C24" s="29" t="s">
        <v>154</v>
      </c>
      <c r="D24" s="37">
        <v>150</v>
      </c>
      <c r="E24" s="29">
        <v>30</v>
      </c>
      <c r="F24" s="35" t="s">
        <v>28</v>
      </c>
    </row>
    <row r="25" spans="1:6" x14ac:dyDescent="0.25">
      <c r="A25" s="34" t="s">
        <v>125</v>
      </c>
      <c r="B25" s="28" t="s">
        <v>190</v>
      </c>
      <c r="C25" s="29" t="s">
        <v>155</v>
      </c>
      <c r="D25" s="37">
        <v>800</v>
      </c>
      <c r="E25" s="29">
        <v>45</v>
      </c>
      <c r="F25" s="35" t="s">
        <v>28</v>
      </c>
    </row>
    <row r="26" spans="1:6" x14ac:dyDescent="0.25">
      <c r="A26" s="34" t="s">
        <v>125</v>
      </c>
      <c r="B26" s="28" t="s">
        <v>191</v>
      </c>
      <c r="C26" s="29" t="s">
        <v>156</v>
      </c>
      <c r="D26" s="37">
        <v>76.666666666666671</v>
      </c>
      <c r="E26" s="29">
        <v>25</v>
      </c>
      <c r="F26" s="35" t="s">
        <v>32</v>
      </c>
    </row>
    <row r="27" spans="1:6" x14ac:dyDescent="0.25">
      <c r="A27" s="34" t="s">
        <v>125</v>
      </c>
      <c r="B27" s="28" t="s">
        <v>192</v>
      </c>
      <c r="C27" s="29" t="s">
        <v>157</v>
      </c>
      <c r="D27" s="37">
        <v>400</v>
      </c>
      <c r="E27" s="29">
        <v>40</v>
      </c>
      <c r="F27" s="35" t="s">
        <v>36</v>
      </c>
    </row>
    <row r="28" spans="1:6" x14ac:dyDescent="0.25">
      <c r="A28" s="34" t="s">
        <v>125</v>
      </c>
      <c r="B28" s="28" t="s">
        <v>193</v>
      </c>
      <c r="C28" s="29" t="s">
        <v>158</v>
      </c>
      <c r="D28" s="37">
        <v>60</v>
      </c>
      <c r="E28" s="29">
        <v>30</v>
      </c>
      <c r="F28" s="35" t="s">
        <v>32</v>
      </c>
    </row>
    <row r="29" spans="1:6" x14ac:dyDescent="0.25">
      <c r="A29" s="34" t="s">
        <v>125</v>
      </c>
      <c r="B29" s="28" t="s">
        <v>194</v>
      </c>
      <c r="C29" s="29" t="s">
        <v>159</v>
      </c>
      <c r="D29" s="37">
        <v>40</v>
      </c>
      <c r="E29" s="29">
        <v>10</v>
      </c>
      <c r="F29" s="35" t="s">
        <v>36</v>
      </c>
    </row>
    <row r="30" spans="1:6" x14ac:dyDescent="0.25">
      <c r="A30" s="34" t="s">
        <v>125</v>
      </c>
      <c r="B30" s="28" t="s">
        <v>195</v>
      </c>
      <c r="C30" s="29" t="s">
        <v>160</v>
      </c>
      <c r="D30" s="37">
        <v>130</v>
      </c>
      <c r="E30" s="29">
        <v>5</v>
      </c>
      <c r="F30" s="35" t="s">
        <v>28</v>
      </c>
    </row>
    <row r="31" spans="1:6" x14ac:dyDescent="0.25">
      <c r="A31" s="34" t="s">
        <v>125</v>
      </c>
      <c r="B31" s="28" t="s">
        <v>196</v>
      </c>
      <c r="C31" s="29" t="s">
        <v>161</v>
      </c>
      <c r="D31" s="37">
        <v>50</v>
      </c>
      <c r="E31" s="29">
        <v>50</v>
      </c>
      <c r="F31" s="35" t="s">
        <v>32</v>
      </c>
    </row>
    <row r="32" spans="1:6" x14ac:dyDescent="0.25">
      <c r="A32" s="36" t="s">
        <v>131</v>
      </c>
      <c r="B32" s="30" t="s">
        <v>197</v>
      </c>
      <c r="C32" s="31" t="s">
        <v>162</v>
      </c>
      <c r="D32" s="38">
        <v>100</v>
      </c>
      <c r="E32" s="31">
        <v>20</v>
      </c>
      <c r="F32" s="32" t="s">
        <v>75</v>
      </c>
    </row>
  </sheetData>
  <mergeCells count="1">
    <mergeCell ref="H2:I2"/>
  </mergeCells>
  <conditionalFormatting sqref="C2:C32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{AB168887-6260-4AE7-B914-53BBE9777D65}</x14:id>
        </ext>
      </extLst>
    </cfRule>
  </conditionalFormatting>
  <conditionalFormatting sqref="D2:D3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{1D865605-F3B4-4872-AB55-298EB5E35DF0}</x14:id>
        </ext>
      </extLst>
    </cfRule>
  </conditionalFormatting>
  <conditionalFormatting sqref="E2:E32">
    <cfRule type="cellIs" dxfId="2" priority="5" operator="equal">
      <formula>"Electronics"</formula>
    </cfRule>
  </conditionalFormatting>
  <conditionalFormatting sqref="F2:F32">
    <cfRule type="cellIs" dxfId="1" priority="2" operator="equal">
      <formula>"Electronics"</formula>
    </cfRule>
    <cfRule type="cellIs" priority="3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168887-6260-4AE7-B914-53BBE9777D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C2:C32</xm:sqref>
        </x14:conditionalFormatting>
        <x14:conditionalFormatting xmlns:xm="http://schemas.microsoft.com/office/excel/2006/main">
          <x14:cfRule type="dataBar" id="{1D865605-F3B4-4872-AB55-298EB5E35D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Process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Subashbalan</dc:creator>
  <cp:lastModifiedBy>Maheswari S</cp:lastModifiedBy>
  <dcterms:created xsi:type="dcterms:W3CDTF">2026-04-09T12:06:52Z</dcterms:created>
  <dcterms:modified xsi:type="dcterms:W3CDTF">2026-04-17T12:12:08Z</dcterms:modified>
</cp:coreProperties>
</file>