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"/>
    </mc:Choice>
  </mc:AlternateContent>
  <xr:revisionPtr revIDLastSave="39" documentId="8_{05749104-2A02-40E9-A29A-A4A049627428}" xr6:coauthVersionLast="47" xr6:coauthVersionMax="47" xr10:uidLastSave="{3F27DCB0-F589-4929-B7B1-1D5E3D1AB0A6}"/>
  <bookViews>
    <workbookView xWindow="-108" yWindow="-108" windowWidth="23256" windowHeight="12456" activeTab="1" xr2:uid="{0D295FED-FC5B-4754-99BB-BC2577CBB194}"/>
  </bookViews>
  <sheets>
    <sheet name="Instructions" sheetId="6" r:id="rId1"/>
    <sheet name="Sum,count and average" sheetId="1" r:id="rId2"/>
    <sheet name="Mininum and Maximum" sheetId="2" r:id="rId3"/>
    <sheet name="IF Function" sheetId="3" r:id="rId4"/>
    <sheet name="SumIF and CountIF" sheetId="4" r:id="rId5"/>
    <sheet name="Right,Left and Mid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K4" i="4"/>
  <c r="K3" i="4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K5" i="1"/>
  <c r="K4" i="1"/>
  <c r="K3" i="1"/>
  <c r="J5" i="2"/>
  <c r="J4" i="2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</calcChain>
</file>

<file path=xl/sharedStrings.xml><?xml version="1.0" encoding="utf-8"?>
<sst xmlns="http://schemas.openxmlformats.org/spreadsheetml/2006/main" count="682" uniqueCount="123">
  <si>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</si>
  <si>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</si>
  <si>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</si>
  <si>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</si>
  <si>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</si>
  <si>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</si>
  <si>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</si>
  <si>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</si>
  <si>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</si>
  <si>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</si>
  <si>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</si>
  <si>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</si>
  <si>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</si>
  <si>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</si>
  <si>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</si>
  <si>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</si>
  <si>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</si>
  <si>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</si>
  <si>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</si>
  <si>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</si>
  <si>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</si>
  <si>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</si>
  <si>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</si>
  <si>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</si>
  <si>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</si>
  <si>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</si>
  <si>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</si>
  <si>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</si>
  <si>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</si>
  <si>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</si>
  <si>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</si>
  <si>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</si>
  <si>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</si>
  <si>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</si>
  <si>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</si>
  <si>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</si>
  <si>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</si>
  <si>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</si>
  <si>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</si>
  <si>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</si>
  <si>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</si>
  <si>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</si>
  <si>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</si>
  <si>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</si>
  <si>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</si>
  <si>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</si>
  <si>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</si>
  <si>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</si>
  <si>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</si>
  <si>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</si>
  <si>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</si>
  <si>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</si>
  <si>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</si>
  <si>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</si>
  <si>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</si>
  <si>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</si>
  <si>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</si>
  <si>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</si>
  <si>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</si>
  <si>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</si>
  <si>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</si>
  <si>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</si>
  <si>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</si>
  <si>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</si>
  <si>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</si>
  <si>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</si>
  <si>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</si>
  <si>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</si>
  <si>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</si>
  <si>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</si>
  <si>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</si>
  <si>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</si>
  <si>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</si>
  <si>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</si>
  <si>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</si>
  <si>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</si>
  <si>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</si>
  <si>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</si>
  <si>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</si>
  <si>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</si>
  <si>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</si>
  <si>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</si>
  <si>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</si>
  <si>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</si>
  <si>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</si>
  <si>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</si>
  <si>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</si>
  <si>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</si>
  <si>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</si>
  <si>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</si>
  <si>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</si>
  <si>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</si>
  <si>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</si>
  <si>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</si>
  <si>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Average</t>
  </si>
  <si>
    <t>Count</t>
  </si>
  <si>
    <t>Min</t>
  </si>
  <si>
    <t>Max</t>
  </si>
  <si>
    <t>Price Range</t>
  </si>
  <si>
    <t>IF function is updated in Column E</t>
  </si>
  <si>
    <t>SumIF</t>
  </si>
  <si>
    <t>CountIF</t>
  </si>
  <si>
    <t>Country Code</t>
  </si>
  <si>
    <t>Month</t>
  </si>
  <si>
    <t>Date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</si>
  <si>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</si>
  <si>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</si>
  <si>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</si>
  <si>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</si>
  <si>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</si>
  <si>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</si>
  <si>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</si>
  <si>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</si>
  <si>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</si>
  <si>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</si>
  <si>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</si>
  <si>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</si>
  <si>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</si>
  <si>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</si>
  <si>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</si>
  <si>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</si>
  <si>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</si>
  <si>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I removed duplicate records from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</si>
</sst>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2" borderId="0" xfId="0" applyFont="1" applyFill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1" fillId="0" borderId="0" xfId="0" applyFont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0" borderId="15" xfId="0" applyFont="1" applyBorder="1"/>
    <xf numFmtId="0" fontId="3" fillId="0" borderId="1" xfId="0" applyFont="1" applyBorder="1"/>
    <xf numFmtId="0" fontId="3" fillId="0" borderId="16" xfId="0" applyFont="1" applyBorder="1"/>
    <xf numFmtId="0" fontId="3" fillId="3" borderId="15" xfId="0" applyFont="1" applyFill="1" applyBorder="1"/>
    <xf numFmtId="0" fontId="3" fillId="3" borderId="1" xfId="0" applyFont="1" applyFill="1" applyBorder="1"/>
    <xf numFmtId="0" fontId="3" fillId="3" borderId="16" xfId="0" applyFont="1" applyFill="1" applyBorder="1"/>
    <xf numFmtId="0" fontId="1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C9BD21-2383-4814-94DA-C5B63EEA8123}" name="Table5" displayName="Table5" ref="A1:F32" totalsRowShown="0" headerRowDxfId="48" dataDxfId="46" headerRowBorderDxfId="47" tableBorderDxfId="45" totalsRowBorderDxfId="44">
  <autoFilter ref="A1:F32" xr:uid="{E5C9BD21-2383-4814-94DA-C5B63EEA8123}"/>
  <tableColumns count="6">
    <tableColumn id="1" xr3:uid="{BDF1F686-2101-4683-A33A-01A093288480}" name="Product ID" dataDxfId="43"/>
    <tableColumn id="2" xr3:uid="{A77AA9B6-9E70-4286-9D58-30BD7FD8E95A}" name="Product Name" dataDxfId="42"/>
    <tableColumn id="3" xr3:uid="{77F9A65E-5920-4FDB-8B24-0805BB259639}" name="Brand Name" dataDxfId="41"/>
    <tableColumn id="4" xr3:uid="{5DD4FD19-CF21-4DE9-9FBB-EA7BCE7BA891}" name="Price ($)" dataDxfId="40"/>
    <tableColumn id="5" xr3:uid="{04CF6089-4FD3-43B2-93FA-70F7558FC3F7}" name="Quantity" dataDxfId="39"/>
    <tableColumn id="6" xr3:uid="{AE1AC55B-E6EC-46E7-A4B2-CDC657721EF8}" name="Category" dataDxfId="3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3B6D52-BF44-4FF5-A119-03B3D989A2FE}" name="Table4" displayName="Table4" ref="A1:F32" totalsRowShown="0" headerRowDxfId="37" dataDxfId="36">
  <autoFilter ref="A1:F32" xr:uid="{983B6D52-BF44-4FF5-A119-03B3D989A2FE}"/>
  <tableColumns count="6">
    <tableColumn id="1" xr3:uid="{F7443429-17F4-4AD8-AB41-695ACED1B002}" name="Product ID" dataDxfId="35"/>
    <tableColumn id="2" xr3:uid="{DBEF269C-63CB-495E-A3E4-56B0409BBCE2}" name="Product Name" dataDxfId="34"/>
    <tableColumn id="3" xr3:uid="{4E2280CD-0003-4577-9428-59721ADAA250}" name="Brand Name" dataDxfId="33"/>
    <tableColumn id="4" xr3:uid="{AA42E6B7-CE0C-49A1-ACB6-9DEDEDA09D7D}" name="Price ($)" dataDxfId="32"/>
    <tableColumn id="5" xr3:uid="{ACAC6387-1E09-414F-B2D3-04DC78BE54E0}" name="Quantity" dataDxfId="31"/>
    <tableColumn id="6" xr3:uid="{639514ED-5077-40FD-9D05-6793EBEE8332}" name="Category" dataDxfId="3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6E268-5F06-4D3B-A18C-F67929C40C00}" name="Table2" displayName="Table2" ref="A1:G32" totalsRowShown="0" headerRowDxfId="29" dataDxfId="28">
  <autoFilter ref="A1:G32" xr:uid="{DA96E268-5F06-4D3B-A18C-F67929C40C00}"/>
  <tableColumns count="7">
    <tableColumn id="1" xr3:uid="{76DF1289-DF10-4DDE-ABC5-6E77216ED46E}" name="Product ID" dataDxfId="27"/>
    <tableColumn id="2" xr3:uid="{5EF104F3-B773-4C49-BB9D-56A164BC3135}" name="Product Name" dataDxfId="26"/>
    <tableColumn id="3" xr3:uid="{7BE1F9A0-ADFB-44D9-BAF5-23E4EF97AAD2}" name="Brand Name" dataDxfId="25"/>
    <tableColumn id="4" xr3:uid="{A9F83754-3448-4AA4-A1F3-5F874234F9B1}" name="Price ($)" dataDxfId="24"/>
    <tableColumn id="5" xr3:uid="{62C3DC5C-375E-4999-BE14-070E66A9A466}" name="Price Range" dataDxfId="23">
      <calculatedColumnFormula>IF(D2&gt;500,"High Price","Standard Price")</calculatedColumnFormula>
    </tableColumn>
    <tableColumn id="6" xr3:uid="{8B365288-6D3A-43B7-A446-9D2F3B65789B}" name="Quantity" dataDxfId="22"/>
    <tableColumn id="7" xr3:uid="{8E217612-D939-4132-AE7A-FB34A7220615}" name="Category" dataDxfId="2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A0EA93-D6A7-4536-838B-51A74A70685A}" name="Table1" displayName="Table1" ref="A1:G32" totalsRowShown="0" headerRowDxfId="20" dataDxfId="19">
  <autoFilter ref="A1:G32" xr:uid="{ECA0EA93-D6A7-4536-838B-51A74A70685A}"/>
  <tableColumns count="7">
    <tableColumn id="1" xr3:uid="{B19410AA-133C-439F-9B73-F36CD1956323}" name="Product ID" dataDxfId="18"/>
    <tableColumn id="2" xr3:uid="{BC42587E-291A-4D5B-8950-BC985B9B9B81}" name="Product Name" dataDxfId="17"/>
    <tableColumn id="3" xr3:uid="{7FA2DACC-EC48-4D5A-856B-EA161C4AD1E1}" name="Brand Name" dataDxfId="16"/>
    <tableColumn id="4" xr3:uid="{5C480729-058F-4B3A-A811-3820FDBEAD7F}" name="Price ($)" dataDxfId="15"/>
    <tableColumn id="5" xr3:uid="{944521F4-B00E-47DB-962F-559D8DBC1426}" name="Price Range" dataDxfId="14">
      <calculatedColumnFormula>IF(D2&gt;500,"High Price","Standard Price")</calculatedColumnFormula>
    </tableColumn>
    <tableColumn id="6" xr3:uid="{FB915351-441D-4658-85B1-E48282912DFE}" name="Quantity" dataDxfId="13"/>
    <tableColumn id="7" xr3:uid="{1AFC6D2C-DD96-4EC6-8F3D-AE744D9E265C}" name="Category" dataDxfId="12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37E8C8-F501-49D4-8F70-A6E5427CE8F1}" name="Table6" displayName="Table6" ref="A1:J32" totalsRowShown="0" headerRowDxfId="11" dataDxfId="10">
  <autoFilter ref="A1:J32" xr:uid="{6837E8C8-F501-49D4-8F70-A6E5427CE8F1}"/>
  <tableColumns count="10">
    <tableColumn id="1" xr3:uid="{83AE9D8C-5779-47E4-9B9B-997C13813DB0}" name="Product ID" dataDxfId="9"/>
    <tableColumn id="9" xr3:uid="{56E77979-BD2E-48D8-BAFA-F8A02CF0FF2E}" name="Date" dataDxfId="8">
      <calculatedColumnFormula>LEFT(Table6[[#This Row],[Product ID]],2)</calculatedColumnFormula>
    </tableColumn>
    <tableColumn id="10" xr3:uid="{28BE094D-8B34-452A-8A85-489FBFEC8A6E}" name="Country Code" dataDxfId="7">
      <calculatedColumnFormula>RIGHT(Table6[[#This Row],[Product ID]],2)</calculatedColumnFormula>
    </tableColumn>
    <tableColumn id="11" xr3:uid="{AFB30330-F29D-4679-BE12-DC8458F32747}" name="Month" dataDxfId="6">
      <calculatedColumnFormula>MID(Table6[[#This Row],[Product ID]],4,3)</calculatedColumnFormula>
    </tableColumn>
    <tableColumn id="2" xr3:uid="{39C6A2CD-666E-450A-B911-DEAA5CBD803F}" name="Product Name" dataDxfId="5"/>
    <tableColumn id="3" xr3:uid="{A2809DEF-DE6E-4DD8-9BB1-85023F3BC352}" name="Brand Name" dataDxfId="4"/>
    <tableColumn id="4" xr3:uid="{DEADEEAE-43D1-418D-B226-6DDFAE61AD26}" name="Price ($)" dataDxfId="3"/>
    <tableColumn id="5" xr3:uid="{6D45FA58-664B-4F86-BD12-F5B05E340D51}" name="Price Range" dataDxfId="2">
      <calculatedColumnFormula>IF(G2&gt;500,"High Price","Standard Price")</calculatedColumnFormula>
    </tableColumn>
    <tableColumn id="6" xr3:uid="{076B722C-06E6-4D7F-B772-6FE5076FAEA5}" name="Quantity" dataDxfId="1"/>
    <tableColumn id="7" xr3:uid="{31C8CE7B-9657-4B24-9250-2C434A7A959E}" name="Categor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67C4-04EA-493B-8C97-3B470AFC721C}">
  <dimension ref="A1:G29"/>
  <sheetViews>
    <sheetView workbookViewId="0">
      <selection activeCell="C15" sqref="C15"/>
    </sheetView>
  </sheetViews>
  <sheetFormatPr defaultRowHeight="14.4" x14ac:dyDescent="0.3"/>
  <sheetData>
    <row r="1" spans="1:7" x14ac:dyDescent="0.3">
      <c r="A1" s="32" t="s">
        <v>105</v>
      </c>
    </row>
    <row r="3" spans="1:7" ht="15.6" x14ac:dyDescent="0.3">
      <c r="B3" s="33" t="s">
        <v>106</v>
      </c>
    </row>
    <row r="4" spans="1:7" ht="15.6" x14ac:dyDescent="0.3">
      <c r="B4" s="33"/>
      <c r="C4" s="34" t="s">
        <v>107</v>
      </c>
    </row>
    <row r="5" spans="1:7" ht="15.6" x14ac:dyDescent="0.3">
      <c r="B5" s="33"/>
      <c r="C5" s="34" t="s">
        <v>108</v>
      </c>
    </row>
    <row r="6" spans="1:7" ht="15.6" x14ac:dyDescent="0.3">
      <c r="B6" s="33"/>
      <c r="C6" s="34" t="s">
        <v>109</v>
      </c>
    </row>
    <row r="7" spans="1:7" x14ac:dyDescent="0.3">
      <c r="B7" s="35"/>
    </row>
    <row r="8" spans="1:7" ht="15.6" x14ac:dyDescent="0.3">
      <c r="B8" s="33" t="s">
        <v>110</v>
      </c>
      <c r="E8" s="32"/>
    </row>
    <row r="9" spans="1:7" ht="15.6" x14ac:dyDescent="0.3">
      <c r="C9" s="34" t="s">
        <v>111</v>
      </c>
    </row>
    <row r="10" spans="1:7" ht="15.6" x14ac:dyDescent="0.3">
      <c r="C10" s="34" t="s">
        <v>112</v>
      </c>
      <c r="F10" s="33"/>
    </row>
    <row r="11" spans="1:7" ht="15.6" x14ac:dyDescent="0.3">
      <c r="B11" s="35"/>
      <c r="F11" s="33"/>
      <c r="G11" s="34"/>
    </row>
    <row r="12" spans="1:7" ht="15.6" x14ac:dyDescent="0.3">
      <c r="B12" s="33" t="s">
        <v>113</v>
      </c>
      <c r="F12" s="33"/>
      <c r="G12" s="34"/>
    </row>
    <row r="13" spans="1:7" ht="15.6" x14ac:dyDescent="0.3">
      <c r="C13" s="34" t="s">
        <v>114</v>
      </c>
      <c r="F13" s="33"/>
      <c r="G13" s="34"/>
    </row>
    <row r="14" spans="1:7" x14ac:dyDescent="0.3">
      <c r="B14" s="35"/>
      <c r="F14" s="35"/>
    </row>
    <row r="15" spans="1:7" ht="15.6" x14ac:dyDescent="0.3">
      <c r="B15" s="33" t="s">
        <v>115</v>
      </c>
      <c r="F15" s="33"/>
    </row>
    <row r="16" spans="1:7" ht="15.6" x14ac:dyDescent="0.3">
      <c r="C16" s="34" t="s">
        <v>116</v>
      </c>
      <c r="G16" s="34"/>
    </row>
    <row r="17" spans="2:7" ht="15.6" x14ac:dyDescent="0.3">
      <c r="C17" s="34" t="s">
        <v>117</v>
      </c>
      <c r="G17" s="34"/>
    </row>
    <row r="18" spans="2:7" x14ac:dyDescent="0.3">
      <c r="B18" s="35"/>
      <c r="F18" s="35"/>
    </row>
    <row r="19" spans="2:7" ht="15.6" x14ac:dyDescent="0.3">
      <c r="B19" s="33" t="s">
        <v>118</v>
      </c>
      <c r="F19" s="33"/>
    </row>
    <row r="20" spans="2:7" ht="15.6" x14ac:dyDescent="0.3">
      <c r="C20" s="34" t="s">
        <v>119</v>
      </c>
      <c r="G20" s="34"/>
    </row>
    <row r="21" spans="2:7" ht="15.6" x14ac:dyDescent="0.3">
      <c r="C21" s="34" t="s">
        <v>120</v>
      </c>
      <c r="F21" s="35"/>
    </row>
    <row r="22" spans="2:7" ht="15.6" x14ac:dyDescent="0.3">
      <c r="C22" s="34" t="s">
        <v>121</v>
      </c>
      <c r="F22" s="33"/>
    </row>
    <row r="23" spans="2:7" ht="15.6" x14ac:dyDescent="0.3">
      <c r="G23" s="34"/>
    </row>
    <row r="24" spans="2:7" ht="15.6" x14ac:dyDescent="0.3">
      <c r="G24" s="34"/>
    </row>
    <row r="25" spans="2:7" x14ac:dyDescent="0.3">
      <c r="F25" s="35"/>
    </row>
    <row r="26" spans="2:7" ht="15.6" x14ac:dyDescent="0.3">
      <c r="F26" s="33"/>
    </row>
    <row r="27" spans="2:7" ht="15.6" x14ac:dyDescent="0.3">
      <c r="G27" s="34"/>
    </row>
    <row r="28" spans="2:7" ht="15.6" x14ac:dyDescent="0.3">
      <c r="G28" s="34"/>
    </row>
    <row r="29" spans="2:7" ht="15.6" x14ac:dyDescent="0.3">
      <c r="G29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7CD-368F-43E5-9389-D8ABB70AD468}">
  <dimension ref="A1:K32"/>
  <sheetViews>
    <sheetView tabSelected="1" topLeftCell="A4" workbookViewId="0">
      <selection activeCell="K10" sqref="K10"/>
    </sheetView>
  </sheetViews>
  <sheetFormatPr defaultRowHeight="14.4" x14ac:dyDescent="0.3"/>
  <cols>
    <col min="1" max="1" width="12.21875" customWidth="1"/>
    <col min="2" max="2" width="15.33203125" customWidth="1"/>
    <col min="3" max="3" width="13.6640625" customWidth="1"/>
    <col min="4" max="4" width="10.21875" customWidth="1"/>
    <col min="5" max="5" width="10.33203125" customWidth="1"/>
    <col min="6" max="6" width="11" bestFit="1" customWidth="1"/>
  </cols>
  <sheetData>
    <row r="1" spans="1:11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r="2" spans="1:11" ht="15" thickBot="1" x14ac:dyDescent="0.35">
      <c r="A2" s="18" t="s">
        <v>6</v>
      </c>
      <c r="B2" s="19" t="s">
        <v>7</v>
      </c>
      <c r="C2" s="19" t="s">
        <v>8</v>
      </c>
      <c r="D2" s="19">
        <v>1000</v>
      </c>
      <c r="E2" s="19">
        <v>30</v>
      </c>
      <c r="F2" s="20" t="s">
        <v>9</v>
      </c>
    </row>
    <row r="3" spans="1:11" x14ac:dyDescent="0.3">
      <c r="A3" s="21" t="s">
        <v>10</v>
      </c>
      <c r="B3" s="22" t="s">
        <v>11</v>
      </c>
      <c r="C3" s="22" t="s">
        <v>12</v>
      </c>
      <c r="D3" s="22">
        <v>80</v>
      </c>
      <c r="E3" s="22">
        <v>15</v>
      </c>
      <c r="F3" s="23" t="s">
        <v>13</v>
      </c>
      <c r="J3" s="1" t="s">
        <v>93</v>
      </c>
      <c r="K3" s="2">
        <f>SUM(Table5[Price ($)])</f>
        <v>8870</v>
      </c>
    </row>
    <row r="4" spans="1:11" x14ac:dyDescent="0.3">
      <c r="A4" s="18" t="s">
        <v>14</v>
      </c>
      <c r="B4" s="19" t="s">
        <v>15</v>
      </c>
      <c r="C4" s="19" t="s">
        <v>16</v>
      </c>
      <c r="D4" s="19">
        <v>130</v>
      </c>
      <c r="E4" s="19">
        <v>40</v>
      </c>
      <c r="F4" s="20" t="s">
        <v>17</v>
      </c>
      <c r="J4" s="3" t="s">
        <v>95</v>
      </c>
      <c r="K4" s="4">
        <f>COUNT(Table5[Price ($)])</f>
        <v>31</v>
      </c>
    </row>
    <row r="5" spans="1:11" ht="15" thickBot="1" x14ac:dyDescent="0.35">
      <c r="A5" s="21" t="s">
        <v>18</v>
      </c>
      <c r="B5" s="22" t="s">
        <v>19</v>
      </c>
      <c r="C5" s="22" t="s">
        <v>20</v>
      </c>
      <c r="D5" s="22">
        <v>900</v>
      </c>
      <c r="E5" s="22">
        <v>25</v>
      </c>
      <c r="F5" s="23" t="s">
        <v>9</v>
      </c>
      <c r="J5" s="5" t="s">
        <v>94</v>
      </c>
      <c r="K5" s="6">
        <f>AVERAGE(Table5[Price ($)])</f>
        <v>286.12903225806451</v>
      </c>
    </row>
    <row r="6" spans="1:11" x14ac:dyDescent="0.3">
      <c r="A6" s="18" t="s">
        <v>21</v>
      </c>
      <c r="B6" s="19" t="s">
        <v>22</v>
      </c>
      <c r="C6" s="19" t="s">
        <v>23</v>
      </c>
      <c r="D6" s="19">
        <v>70</v>
      </c>
      <c r="E6" s="19">
        <v>20</v>
      </c>
      <c r="F6" s="20" t="s">
        <v>24</v>
      </c>
    </row>
    <row r="7" spans="1:11" x14ac:dyDescent="0.3">
      <c r="A7" s="21" t="s">
        <v>25</v>
      </c>
      <c r="B7" s="22" t="s">
        <v>26</v>
      </c>
      <c r="C7" s="22" t="s">
        <v>27</v>
      </c>
      <c r="D7" s="22">
        <v>200</v>
      </c>
      <c r="E7" s="22">
        <v>45</v>
      </c>
      <c r="F7" s="23" t="s">
        <v>9</v>
      </c>
      <c r="K7" s="14" t="s">
        <v>122</v>
      </c>
    </row>
    <row r="8" spans="1:11" x14ac:dyDescent="0.3">
      <c r="A8" s="18" t="s">
        <v>28</v>
      </c>
      <c r="B8" s="19" t="s">
        <v>29</v>
      </c>
      <c r="C8" s="19" t="s">
        <v>30</v>
      </c>
      <c r="D8" s="19">
        <v>30</v>
      </c>
      <c r="E8" s="19">
        <v>5</v>
      </c>
      <c r="F8" s="20" t="s">
        <v>13</v>
      </c>
    </row>
    <row r="9" spans="1:11" x14ac:dyDescent="0.3">
      <c r="A9" s="21" t="s">
        <v>31</v>
      </c>
      <c r="B9" s="22" t="s">
        <v>32</v>
      </c>
      <c r="C9" s="22" t="s">
        <v>33</v>
      </c>
      <c r="D9" s="22">
        <v>90</v>
      </c>
      <c r="E9" s="22">
        <v>35</v>
      </c>
      <c r="F9" s="23" t="s">
        <v>17</v>
      </c>
    </row>
    <row r="10" spans="1:11" x14ac:dyDescent="0.3">
      <c r="A10" s="18" t="s">
        <v>34</v>
      </c>
      <c r="B10" s="19" t="s">
        <v>35</v>
      </c>
      <c r="C10" s="19" t="s">
        <v>36</v>
      </c>
      <c r="D10" s="19">
        <v>500</v>
      </c>
      <c r="E10" s="19">
        <v>50</v>
      </c>
      <c r="F10" s="20" t="s">
        <v>9</v>
      </c>
    </row>
    <row r="11" spans="1:11" x14ac:dyDescent="0.3">
      <c r="A11" s="21" t="s">
        <v>37</v>
      </c>
      <c r="B11" s="22" t="s">
        <v>38</v>
      </c>
      <c r="C11" s="22" t="s">
        <v>39</v>
      </c>
      <c r="D11" s="22">
        <v>130</v>
      </c>
      <c r="E11" s="22">
        <v>10</v>
      </c>
      <c r="F11" s="23" t="s">
        <v>24</v>
      </c>
    </row>
    <row r="12" spans="1:11" x14ac:dyDescent="0.3">
      <c r="A12" s="18" t="s">
        <v>40</v>
      </c>
      <c r="B12" s="19" t="s">
        <v>7</v>
      </c>
      <c r="C12" s="19" t="s">
        <v>41</v>
      </c>
      <c r="D12" s="19">
        <v>950</v>
      </c>
      <c r="E12" s="19">
        <v>25</v>
      </c>
      <c r="F12" s="20" t="s">
        <v>9</v>
      </c>
    </row>
    <row r="13" spans="1:11" x14ac:dyDescent="0.3">
      <c r="A13" s="21" t="s">
        <v>42</v>
      </c>
      <c r="B13" s="22" t="s">
        <v>11</v>
      </c>
      <c r="C13" s="22" t="s">
        <v>30</v>
      </c>
      <c r="D13" s="22">
        <v>90</v>
      </c>
      <c r="E13" s="22">
        <v>40</v>
      </c>
      <c r="F13" s="23" t="s">
        <v>13</v>
      </c>
    </row>
    <row r="14" spans="1:11" x14ac:dyDescent="0.3">
      <c r="A14" s="18" t="s">
        <v>43</v>
      </c>
      <c r="B14" s="19" t="s">
        <v>15</v>
      </c>
      <c r="C14" s="19" t="s">
        <v>44</v>
      </c>
      <c r="D14" s="19">
        <v>120</v>
      </c>
      <c r="E14" s="19">
        <v>35</v>
      </c>
      <c r="F14" s="20" t="s">
        <v>17</v>
      </c>
    </row>
    <row r="15" spans="1:11" x14ac:dyDescent="0.3">
      <c r="A15" s="21" t="s">
        <v>45</v>
      </c>
      <c r="B15" s="22" t="s">
        <v>46</v>
      </c>
      <c r="C15" s="22" t="s">
        <v>47</v>
      </c>
      <c r="D15" s="22">
        <v>150</v>
      </c>
      <c r="E15" s="22">
        <v>15</v>
      </c>
      <c r="F15" s="23" t="s">
        <v>9</v>
      </c>
    </row>
    <row r="16" spans="1:11" x14ac:dyDescent="0.3">
      <c r="A16" s="18" t="s">
        <v>48</v>
      </c>
      <c r="B16" s="19" t="s">
        <v>26</v>
      </c>
      <c r="C16" s="19" t="s">
        <v>49</v>
      </c>
      <c r="D16" s="19">
        <v>250</v>
      </c>
      <c r="E16" s="19">
        <v>20</v>
      </c>
      <c r="F16" s="20" t="s">
        <v>9</v>
      </c>
    </row>
    <row r="17" spans="1:6" x14ac:dyDescent="0.3">
      <c r="A17" s="21" t="s">
        <v>50</v>
      </c>
      <c r="B17" s="22" t="s">
        <v>51</v>
      </c>
      <c r="C17" s="22" t="s">
        <v>52</v>
      </c>
      <c r="D17" s="22">
        <v>50</v>
      </c>
      <c r="E17" s="22">
        <v>35</v>
      </c>
      <c r="F17" s="23" t="s">
        <v>53</v>
      </c>
    </row>
    <row r="18" spans="1:6" x14ac:dyDescent="0.3">
      <c r="A18" s="18" t="s">
        <v>54</v>
      </c>
      <c r="B18" s="19" t="s">
        <v>46</v>
      </c>
      <c r="C18" s="19" t="s">
        <v>55</v>
      </c>
      <c r="D18" s="19">
        <v>160</v>
      </c>
      <c r="E18" s="19">
        <v>15</v>
      </c>
      <c r="F18" s="20" t="s">
        <v>9</v>
      </c>
    </row>
    <row r="19" spans="1:6" x14ac:dyDescent="0.3">
      <c r="A19" s="21" t="s">
        <v>56</v>
      </c>
      <c r="B19" s="22" t="s">
        <v>7</v>
      </c>
      <c r="C19" s="22" t="s">
        <v>57</v>
      </c>
      <c r="D19" s="22">
        <v>980</v>
      </c>
      <c r="E19" s="22">
        <v>10</v>
      </c>
      <c r="F19" s="23" t="s">
        <v>9</v>
      </c>
    </row>
    <row r="20" spans="1:6" x14ac:dyDescent="0.3">
      <c r="A20" s="18" t="s">
        <v>58</v>
      </c>
      <c r="B20" s="19" t="s">
        <v>59</v>
      </c>
      <c r="C20" s="19" t="s">
        <v>60</v>
      </c>
      <c r="D20" s="19">
        <v>150</v>
      </c>
      <c r="E20" s="19">
        <v>15</v>
      </c>
      <c r="F20" s="20" t="s">
        <v>13</v>
      </c>
    </row>
    <row r="21" spans="1:6" x14ac:dyDescent="0.3">
      <c r="A21" s="21" t="s">
        <v>61</v>
      </c>
      <c r="B21" s="22" t="s">
        <v>62</v>
      </c>
      <c r="C21" s="22" t="s">
        <v>63</v>
      </c>
      <c r="D21" s="22">
        <v>200</v>
      </c>
      <c r="E21" s="22">
        <v>10</v>
      </c>
      <c r="F21" s="23" t="s">
        <v>24</v>
      </c>
    </row>
    <row r="22" spans="1:6" x14ac:dyDescent="0.3">
      <c r="A22" s="18" t="s">
        <v>64</v>
      </c>
      <c r="B22" s="19" t="s">
        <v>65</v>
      </c>
      <c r="C22" s="19" t="s">
        <v>66</v>
      </c>
      <c r="D22" s="19">
        <v>700</v>
      </c>
      <c r="E22" s="19">
        <v>50</v>
      </c>
      <c r="F22" s="20" t="s">
        <v>9</v>
      </c>
    </row>
    <row r="23" spans="1:6" x14ac:dyDescent="0.3">
      <c r="A23" s="21" t="s">
        <v>67</v>
      </c>
      <c r="B23" s="22" t="s">
        <v>68</v>
      </c>
      <c r="C23" s="22" t="s">
        <v>69</v>
      </c>
      <c r="D23" s="22">
        <v>80</v>
      </c>
      <c r="E23" s="22">
        <v>20</v>
      </c>
      <c r="F23" s="23" t="s">
        <v>17</v>
      </c>
    </row>
    <row r="24" spans="1:6" x14ac:dyDescent="0.3">
      <c r="A24" s="18" t="s">
        <v>70</v>
      </c>
      <c r="B24" s="19" t="s">
        <v>71</v>
      </c>
      <c r="C24" s="19" t="s">
        <v>72</v>
      </c>
      <c r="D24" s="19">
        <v>150</v>
      </c>
      <c r="E24" s="19">
        <v>30</v>
      </c>
      <c r="F24" s="20" t="s">
        <v>9</v>
      </c>
    </row>
    <row r="25" spans="1:6" x14ac:dyDescent="0.3">
      <c r="A25" s="18" t="s">
        <v>73</v>
      </c>
      <c r="B25" s="19" t="s">
        <v>19</v>
      </c>
      <c r="C25" s="19" t="s">
        <v>74</v>
      </c>
      <c r="D25" s="19">
        <v>800</v>
      </c>
      <c r="E25" s="19">
        <v>45</v>
      </c>
      <c r="F25" s="20" t="s">
        <v>9</v>
      </c>
    </row>
    <row r="26" spans="1:6" x14ac:dyDescent="0.3">
      <c r="A26" s="21" t="s">
        <v>75</v>
      </c>
      <c r="B26" s="22" t="s">
        <v>59</v>
      </c>
      <c r="C26" s="22" t="s">
        <v>76</v>
      </c>
      <c r="D26" s="22">
        <v>130</v>
      </c>
      <c r="E26" s="22">
        <v>25</v>
      </c>
      <c r="F26" s="23" t="s">
        <v>13</v>
      </c>
    </row>
    <row r="27" spans="1:6" x14ac:dyDescent="0.3">
      <c r="A27" s="18" t="s">
        <v>77</v>
      </c>
      <c r="B27" s="19" t="s">
        <v>32</v>
      </c>
      <c r="C27" s="19" t="s">
        <v>78</v>
      </c>
      <c r="D27" s="19">
        <v>400</v>
      </c>
      <c r="E27" s="19">
        <v>40</v>
      </c>
      <c r="F27" s="20" t="s">
        <v>17</v>
      </c>
    </row>
    <row r="28" spans="1:6" x14ac:dyDescent="0.3">
      <c r="A28" s="18" t="s">
        <v>79</v>
      </c>
      <c r="B28" s="19" t="s">
        <v>80</v>
      </c>
      <c r="C28" s="19" t="s">
        <v>81</v>
      </c>
      <c r="D28" s="19">
        <v>60</v>
      </c>
      <c r="E28" s="19">
        <v>30</v>
      </c>
      <c r="F28" s="20" t="s">
        <v>13</v>
      </c>
    </row>
    <row r="29" spans="1:6" x14ac:dyDescent="0.3">
      <c r="A29" s="21" t="s">
        <v>82</v>
      </c>
      <c r="B29" s="22" t="s">
        <v>83</v>
      </c>
      <c r="C29" s="22" t="s">
        <v>84</v>
      </c>
      <c r="D29" s="22">
        <v>40</v>
      </c>
      <c r="E29" s="22">
        <v>10</v>
      </c>
      <c r="F29" s="23" t="s">
        <v>17</v>
      </c>
    </row>
    <row r="30" spans="1:6" x14ac:dyDescent="0.3">
      <c r="A30" s="18" t="s">
        <v>85</v>
      </c>
      <c r="B30" s="19" t="s">
        <v>71</v>
      </c>
      <c r="C30" s="19" t="s">
        <v>86</v>
      </c>
      <c r="D30" s="19">
        <v>130</v>
      </c>
      <c r="E30" s="19">
        <v>5</v>
      </c>
      <c r="F30" s="20" t="s">
        <v>9</v>
      </c>
    </row>
    <row r="31" spans="1:6" x14ac:dyDescent="0.3">
      <c r="A31" s="21" t="s">
        <v>87</v>
      </c>
      <c r="B31" s="22" t="s">
        <v>88</v>
      </c>
      <c r="C31" s="22" t="s">
        <v>89</v>
      </c>
      <c r="D31" s="22">
        <v>50</v>
      </c>
      <c r="E31" s="22">
        <v>50</v>
      </c>
      <c r="F31" s="23" t="s">
        <v>13</v>
      </c>
    </row>
    <row r="32" spans="1:6" x14ac:dyDescent="0.3">
      <c r="A32" s="21" t="s">
        <v>90</v>
      </c>
      <c r="B32" s="22" t="s">
        <v>91</v>
      </c>
      <c r="C32" s="22" t="s">
        <v>92</v>
      </c>
      <c r="D32" s="22">
        <v>100</v>
      </c>
      <c r="E32" s="22">
        <v>20</v>
      </c>
      <c r="F32" s="23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CDCA-AFFB-4825-AC90-50B103542E76}">
  <dimension ref="A1:J32"/>
  <sheetViews>
    <sheetView workbookViewId="0">
      <selection activeCell="J18" sqref="J18"/>
    </sheetView>
  </sheetViews>
  <sheetFormatPr defaultRowHeight="14.4" x14ac:dyDescent="0.3"/>
  <cols>
    <col min="1" max="1" width="12.21875" customWidth="1"/>
    <col min="2" max="2" width="15.33203125" customWidth="1"/>
    <col min="3" max="3" width="16.21875" bestFit="1" customWidth="1"/>
    <col min="4" max="4" width="12.77734375" bestFit="1" customWidth="1"/>
    <col min="5" max="5" width="10.33203125" customWidth="1"/>
    <col min="6" max="6" width="11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10" x14ac:dyDescent="0.3">
      <c r="A2" s="12" t="s">
        <v>6</v>
      </c>
      <c r="B2" s="12" t="s">
        <v>7</v>
      </c>
      <c r="C2" s="12" t="s">
        <v>8</v>
      </c>
      <c r="D2" s="12">
        <v>1000</v>
      </c>
      <c r="E2" s="12">
        <v>30</v>
      </c>
      <c r="F2" s="12" t="s">
        <v>9</v>
      </c>
    </row>
    <row r="3" spans="1:10" x14ac:dyDescent="0.3">
      <c r="A3" s="13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</row>
    <row r="4" spans="1:10" x14ac:dyDescent="0.3">
      <c r="A4" s="12" t="s">
        <v>14</v>
      </c>
      <c r="B4" s="12" t="s">
        <v>15</v>
      </c>
      <c r="C4" s="12" t="s">
        <v>16</v>
      </c>
      <c r="D4" s="12">
        <v>130</v>
      </c>
      <c r="E4" s="12">
        <v>40</v>
      </c>
      <c r="F4" s="12" t="s">
        <v>17</v>
      </c>
      <c r="I4" s="24" t="s">
        <v>96</v>
      </c>
      <c r="J4" s="24">
        <f>MIN(Table4[Price ($)])</f>
        <v>30</v>
      </c>
    </row>
    <row r="5" spans="1:10" x14ac:dyDescent="0.3">
      <c r="A5" s="13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I5" s="24" t="s">
        <v>97</v>
      </c>
      <c r="J5" s="24">
        <f>MAX(Table4[Price ($)])</f>
        <v>1000</v>
      </c>
    </row>
    <row r="6" spans="1:10" x14ac:dyDescent="0.3">
      <c r="A6" s="12" t="s">
        <v>21</v>
      </c>
      <c r="B6" s="12" t="s">
        <v>22</v>
      </c>
      <c r="C6" s="12" t="s">
        <v>23</v>
      </c>
      <c r="D6" s="12">
        <v>70</v>
      </c>
      <c r="E6" s="12">
        <v>20</v>
      </c>
      <c r="F6" s="12" t="s">
        <v>24</v>
      </c>
    </row>
    <row r="7" spans="1:10" x14ac:dyDescent="0.3">
      <c r="A7" s="13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</row>
    <row r="8" spans="1:10" x14ac:dyDescent="0.3">
      <c r="A8" s="12" t="s">
        <v>28</v>
      </c>
      <c r="B8" s="12" t="s">
        <v>29</v>
      </c>
      <c r="C8" s="12" t="s">
        <v>30</v>
      </c>
      <c r="D8" s="12">
        <v>30</v>
      </c>
      <c r="E8" s="12">
        <v>5</v>
      </c>
      <c r="F8" s="12" t="s">
        <v>13</v>
      </c>
    </row>
    <row r="9" spans="1:10" x14ac:dyDescent="0.3">
      <c r="A9" s="13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</row>
    <row r="10" spans="1:10" x14ac:dyDescent="0.3">
      <c r="A10" s="12" t="s">
        <v>34</v>
      </c>
      <c r="B10" s="12" t="s">
        <v>35</v>
      </c>
      <c r="C10" s="12" t="s">
        <v>36</v>
      </c>
      <c r="D10" s="12">
        <v>500</v>
      </c>
      <c r="E10" s="12">
        <v>50</v>
      </c>
      <c r="F10" s="12" t="s">
        <v>9</v>
      </c>
    </row>
    <row r="11" spans="1:10" x14ac:dyDescent="0.3">
      <c r="A11" s="13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</row>
    <row r="12" spans="1:10" x14ac:dyDescent="0.3">
      <c r="A12" s="12" t="s">
        <v>40</v>
      </c>
      <c r="B12" s="12" t="s">
        <v>7</v>
      </c>
      <c r="C12" s="12" t="s">
        <v>41</v>
      </c>
      <c r="D12" s="12">
        <v>950</v>
      </c>
      <c r="E12" s="12">
        <v>25</v>
      </c>
      <c r="F12" s="12" t="s">
        <v>9</v>
      </c>
    </row>
    <row r="13" spans="1:10" x14ac:dyDescent="0.3">
      <c r="A13" s="13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</row>
    <row r="14" spans="1:10" x14ac:dyDescent="0.3">
      <c r="A14" s="12" t="s">
        <v>43</v>
      </c>
      <c r="B14" s="12" t="s">
        <v>15</v>
      </c>
      <c r="C14" s="12" t="s">
        <v>44</v>
      </c>
      <c r="D14" s="12">
        <v>120</v>
      </c>
      <c r="E14" s="12">
        <v>35</v>
      </c>
      <c r="F14" s="12" t="s">
        <v>17</v>
      </c>
    </row>
    <row r="15" spans="1:10" x14ac:dyDescent="0.3">
      <c r="A15" s="13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</row>
    <row r="16" spans="1:10" x14ac:dyDescent="0.3">
      <c r="A16" s="12" t="s">
        <v>48</v>
      </c>
      <c r="B16" s="12" t="s">
        <v>26</v>
      </c>
      <c r="C16" s="12" t="s">
        <v>49</v>
      </c>
      <c r="D16" s="12">
        <v>250</v>
      </c>
      <c r="E16" s="12">
        <v>20</v>
      </c>
      <c r="F16" s="12" t="s">
        <v>9</v>
      </c>
    </row>
    <row r="17" spans="1:6" x14ac:dyDescent="0.3">
      <c r="A17" s="13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</row>
    <row r="18" spans="1:6" x14ac:dyDescent="0.3">
      <c r="A18" s="12" t="s">
        <v>54</v>
      </c>
      <c r="B18" s="12" t="s">
        <v>46</v>
      </c>
      <c r="C18" s="12" t="s">
        <v>55</v>
      </c>
      <c r="D18" s="12">
        <v>160</v>
      </c>
      <c r="E18" s="12">
        <v>15</v>
      </c>
      <c r="F18" s="12" t="s">
        <v>9</v>
      </c>
    </row>
    <row r="19" spans="1:6" x14ac:dyDescent="0.3">
      <c r="A19" s="13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</row>
    <row r="20" spans="1:6" x14ac:dyDescent="0.3">
      <c r="A20" s="12" t="s">
        <v>58</v>
      </c>
      <c r="B20" s="12" t="s">
        <v>59</v>
      </c>
      <c r="C20" s="12" t="s">
        <v>60</v>
      </c>
      <c r="D20" s="12">
        <v>150</v>
      </c>
      <c r="E20" s="12">
        <v>15</v>
      </c>
      <c r="F20" s="12" t="s">
        <v>13</v>
      </c>
    </row>
    <row r="21" spans="1:6" x14ac:dyDescent="0.3">
      <c r="A21" s="13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</row>
    <row r="22" spans="1:6" x14ac:dyDescent="0.3">
      <c r="A22" s="12" t="s">
        <v>64</v>
      </c>
      <c r="B22" s="12" t="s">
        <v>65</v>
      </c>
      <c r="C22" s="12" t="s">
        <v>66</v>
      </c>
      <c r="D22" s="12">
        <v>700</v>
      </c>
      <c r="E22" s="12">
        <v>50</v>
      </c>
      <c r="F22" s="12" t="s">
        <v>9</v>
      </c>
    </row>
    <row r="23" spans="1:6" x14ac:dyDescent="0.3">
      <c r="A23" s="13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</row>
    <row r="24" spans="1:6" x14ac:dyDescent="0.3">
      <c r="A24" s="12" t="s">
        <v>70</v>
      </c>
      <c r="B24" s="12" t="s">
        <v>71</v>
      </c>
      <c r="C24" s="12" t="s">
        <v>72</v>
      </c>
      <c r="D24" s="12">
        <v>150</v>
      </c>
      <c r="E24" s="12">
        <v>30</v>
      </c>
      <c r="F24" s="12" t="s">
        <v>9</v>
      </c>
    </row>
    <row r="25" spans="1:6" x14ac:dyDescent="0.3">
      <c r="A25" s="12" t="s">
        <v>73</v>
      </c>
      <c r="B25" s="12" t="s">
        <v>19</v>
      </c>
      <c r="C25" s="12" t="s">
        <v>74</v>
      </c>
      <c r="D25" s="12">
        <v>800</v>
      </c>
      <c r="E25" s="12">
        <v>45</v>
      </c>
      <c r="F25" s="12" t="s">
        <v>9</v>
      </c>
    </row>
    <row r="26" spans="1:6" x14ac:dyDescent="0.3">
      <c r="A26" s="13" t="s">
        <v>75</v>
      </c>
      <c r="B26" s="13" t="s">
        <v>59</v>
      </c>
      <c r="C26" s="13" t="s">
        <v>76</v>
      </c>
      <c r="D26" s="13">
        <v>130</v>
      </c>
      <c r="E26" s="13">
        <v>25</v>
      </c>
      <c r="F26" s="13" t="s">
        <v>13</v>
      </c>
    </row>
    <row r="27" spans="1:6" x14ac:dyDescent="0.3">
      <c r="A27" s="12" t="s">
        <v>77</v>
      </c>
      <c r="B27" s="12" t="s">
        <v>32</v>
      </c>
      <c r="C27" s="12" t="s">
        <v>78</v>
      </c>
      <c r="D27" s="12">
        <v>400</v>
      </c>
      <c r="E27" s="12">
        <v>40</v>
      </c>
      <c r="F27" s="12" t="s">
        <v>17</v>
      </c>
    </row>
    <row r="28" spans="1:6" x14ac:dyDescent="0.3">
      <c r="A28" s="12" t="s">
        <v>79</v>
      </c>
      <c r="B28" s="12" t="s">
        <v>80</v>
      </c>
      <c r="C28" s="12" t="s">
        <v>81</v>
      </c>
      <c r="D28" s="12">
        <v>60</v>
      </c>
      <c r="E28" s="12">
        <v>30</v>
      </c>
      <c r="F28" s="12" t="s">
        <v>13</v>
      </c>
    </row>
    <row r="29" spans="1:6" x14ac:dyDescent="0.3">
      <c r="A29" s="13" t="s">
        <v>82</v>
      </c>
      <c r="B29" s="13" t="s">
        <v>83</v>
      </c>
      <c r="C29" s="13" t="s">
        <v>84</v>
      </c>
      <c r="D29" s="13">
        <v>40</v>
      </c>
      <c r="E29" s="13">
        <v>10</v>
      </c>
      <c r="F29" s="13" t="s">
        <v>17</v>
      </c>
    </row>
    <row r="30" spans="1:6" x14ac:dyDescent="0.3">
      <c r="A30" s="12" t="s">
        <v>85</v>
      </c>
      <c r="B30" s="12" t="s">
        <v>71</v>
      </c>
      <c r="C30" s="12" t="s">
        <v>86</v>
      </c>
      <c r="D30" s="12">
        <v>130</v>
      </c>
      <c r="E30" s="12">
        <v>5</v>
      </c>
      <c r="F30" s="12" t="s">
        <v>9</v>
      </c>
    </row>
    <row r="31" spans="1:6" x14ac:dyDescent="0.3">
      <c r="A31" s="13" t="s">
        <v>87</v>
      </c>
      <c r="B31" s="13" t="s">
        <v>88</v>
      </c>
      <c r="C31" s="13" t="s">
        <v>89</v>
      </c>
      <c r="D31" s="13">
        <v>50</v>
      </c>
      <c r="E31" s="13">
        <v>50</v>
      </c>
      <c r="F31" s="13" t="s">
        <v>13</v>
      </c>
    </row>
    <row r="32" spans="1:6" x14ac:dyDescent="0.3">
      <c r="A32" s="13" t="s">
        <v>90</v>
      </c>
      <c r="B32" s="13" t="s">
        <v>91</v>
      </c>
      <c r="C32" s="13" t="s">
        <v>92</v>
      </c>
      <c r="D32" s="13">
        <v>100</v>
      </c>
      <c r="E32" s="13">
        <v>20</v>
      </c>
      <c r="F32" s="13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15B2-F99E-4BD6-BC8C-3C5C7A4A3C17}">
  <dimension ref="A1:J32"/>
  <sheetViews>
    <sheetView workbookViewId="0">
      <selection activeCell="D34" sqref="D34"/>
    </sheetView>
  </sheetViews>
  <sheetFormatPr defaultRowHeight="14.4" x14ac:dyDescent="0.3"/>
  <cols>
    <col min="1" max="1" width="12.21875" customWidth="1"/>
    <col min="2" max="2" width="15.33203125" customWidth="1"/>
    <col min="3" max="3" width="13.6640625" customWidth="1"/>
    <col min="4" max="4" width="12.77734375" bestFit="1" customWidth="1"/>
    <col min="5" max="5" width="16" bestFit="1" customWidth="1"/>
    <col min="6" max="6" width="10.33203125" customWidth="1"/>
    <col min="7" max="7" width="11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98</v>
      </c>
      <c r="F1" s="7" t="s">
        <v>4</v>
      </c>
      <c r="G1" s="7" t="s">
        <v>5</v>
      </c>
    </row>
    <row r="2" spans="1:10" x14ac:dyDescent="0.3">
      <c r="A2" s="12" t="s">
        <v>6</v>
      </c>
      <c r="B2" s="12" t="s">
        <v>7</v>
      </c>
      <c r="C2" s="12" t="s">
        <v>8</v>
      </c>
      <c r="D2" s="12">
        <v>1000</v>
      </c>
      <c r="E2" s="25" t="str">
        <f t="shared" ref="E2:E32" si="0">IF(D2&gt;500,"High Price","Standard Price")</f>
        <v>High Price</v>
      </c>
      <c r="F2" s="12">
        <v>30</v>
      </c>
      <c r="G2" s="12" t="s">
        <v>9</v>
      </c>
    </row>
    <row r="3" spans="1:10" x14ac:dyDescent="0.3">
      <c r="A3" s="13" t="s">
        <v>10</v>
      </c>
      <c r="B3" s="13" t="s">
        <v>11</v>
      </c>
      <c r="C3" s="13" t="s">
        <v>12</v>
      </c>
      <c r="D3" s="13">
        <v>80</v>
      </c>
      <c r="E3" s="13" t="str">
        <f t="shared" si="0"/>
        <v>Standard Price</v>
      </c>
      <c r="F3" s="13">
        <v>15</v>
      </c>
      <c r="G3" s="13" t="s">
        <v>13</v>
      </c>
    </row>
    <row r="4" spans="1:10" x14ac:dyDescent="0.3">
      <c r="A4" s="12" t="s">
        <v>14</v>
      </c>
      <c r="B4" s="12" t="s">
        <v>15</v>
      </c>
      <c r="C4" s="12" t="s">
        <v>16</v>
      </c>
      <c r="D4" s="12">
        <v>130</v>
      </c>
      <c r="E4" s="12" t="str">
        <f t="shared" si="0"/>
        <v>Standard Price</v>
      </c>
      <c r="F4" s="12">
        <v>40</v>
      </c>
      <c r="G4" s="12" t="s">
        <v>17</v>
      </c>
      <c r="J4" s="14" t="s">
        <v>99</v>
      </c>
    </row>
    <row r="5" spans="1:10" x14ac:dyDescent="0.3">
      <c r="A5" s="13" t="s">
        <v>18</v>
      </c>
      <c r="B5" s="13" t="s">
        <v>19</v>
      </c>
      <c r="C5" s="13" t="s">
        <v>20</v>
      </c>
      <c r="D5" s="13">
        <v>900</v>
      </c>
      <c r="E5" s="26" t="str">
        <f t="shared" si="0"/>
        <v>High Price</v>
      </c>
      <c r="F5" s="13">
        <v>25</v>
      </c>
      <c r="G5" s="13" t="s">
        <v>9</v>
      </c>
    </row>
    <row r="6" spans="1:10" x14ac:dyDescent="0.3">
      <c r="A6" s="12" t="s">
        <v>21</v>
      </c>
      <c r="B6" s="12" t="s">
        <v>22</v>
      </c>
      <c r="C6" s="12" t="s">
        <v>23</v>
      </c>
      <c r="D6" s="12">
        <v>70</v>
      </c>
      <c r="E6" s="12" t="str">
        <f t="shared" si="0"/>
        <v>Standard Price</v>
      </c>
      <c r="F6" s="12">
        <v>20</v>
      </c>
      <c r="G6" s="12" t="s">
        <v>24</v>
      </c>
    </row>
    <row r="7" spans="1:10" x14ac:dyDescent="0.3">
      <c r="A7" s="13" t="s">
        <v>25</v>
      </c>
      <c r="B7" s="13" t="s">
        <v>26</v>
      </c>
      <c r="C7" s="13" t="s">
        <v>27</v>
      </c>
      <c r="D7" s="13">
        <v>200</v>
      </c>
      <c r="E7" s="13" t="str">
        <f t="shared" si="0"/>
        <v>Standard Price</v>
      </c>
      <c r="F7" s="13">
        <v>45</v>
      </c>
      <c r="G7" s="13" t="s">
        <v>9</v>
      </c>
    </row>
    <row r="8" spans="1:10" x14ac:dyDescent="0.3">
      <c r="A8" s="12" t="s">
        <v>28</v>
      </c>
      <c r="B8" s="12" t="s">
        <v>29</v>
      </c>
      <c r="C8" s="12" t="s">
        <v>30</v>
      </c>
      <c r="D8" s="12">
        <v>30</v>
      </c>
      <c r="E8" s="12" t="str">
        <f t="shared" si="0"/>
        <v>Standard Price</v>
      </c>
      <c r="F8" s="12">
        <v>5</v>
      </c>
      <c r="G8" s="12" t="s">
        <v>13</v>
      </c>
    </row>
    <row r="9" spans="1:10" x14ac:dyDescent="0.3">
      <c r="A9" s="13" t="s">
        <v>31</v>
      </c>
      <c r="B9" s="13" t="s">
        <v>32</v>
      </c>
      <c r="C9" s="13" t="s">
        <v>33</v>
      </c>
      <c r="D9" s="13">
        <v>90</v>
      </c>
      <c r="E9" s="13" t="str">
        <f t="shared" si="0"/>
        <v>Standard Price</v>
      </c>
      <c r="F9" s="13">
        <v>35</v>
      </c>
      <c r="G9" s="13" t="s">
        <v>17</v>
      </c>
    </row>
    <row r="10" spans="1:10" x14ac:dyDescent="0.3">
      <c r="A10" s="12" t="s">
        <v>34</v>
      </c>
      <c r="B10" s="12" t="s">
        <v>35</v>
      </c>
      <c r="C10" s="12" t="s">
        <v>36</v>
      </c>
      <c r="D10" s="12">
        <v>500</v>
      </c>
      <c r="E10" s="12" t="str">
        <f t="shared" si="0"/>
        <v>Standard Price</v>
      </c>
      <c r="F10" s="12">
        <v>50</v>
      </c>
      <c r="G10" s="12" t="s">
        <v>9</v>
      </c>
    </row>
    <row r="11" spans="1:10" x14ac:dyDescent="0.3">
      <c r="A11" s="13" t="s">
        <v>37</v>
      </c>
      <c r="B11" s="13" t="s">
        <v>38</v>
      </c>
      <c r="C11" s="13" t="s">
        <v>39</v>
      </c>
      <c r="D11" s="13">
        <v>130</v>
      </c>
      <c r="E11" s="13" t="str">
        <f t="shared" si="0"/>
        <v>Standard Price</v>
      </c>
      <c r="F11" s="13">
        <v>10</v>
      </c>
      <c r="G11" s="13" t="s">
        <v>24</v>
      </c>
    </row>
    <row r="12" spans="1:10" x14ac:dyDescent="0.3">
      <c r="A12" s="12" t="s">
        <v>40</v>
      </c>
      <c r="B12" s="12" t="s">
        <v>7</v>
      </c>
      <c r="C12" s="12" t="s">
        <v>41</v>
      </c>
      <c r="D12" s="12">
        <v>950</v>
      </c>
      <c r="E12" s="25" t="str">
        <f t="shared" si="0"/>
        <v>High Price</v>
      </c>
      <c r="F12" s="12">
        <v>25</v>
      </c>
      <c r="G12" s="12" t="s">
        <v>9</v>
      </c>
    </row>
    <row r="13" spans="1:10" x14ac:dyDescent="0.3">
      <c r="A13" s="13" t="s">
        <v>42</v>
      </c>
      <c r="B13" s="13" t="s">
        <v>11</v>
      </c>
      <c r="C13" s="13" t="s">
        <v>30</v>
      </c>
      <c r="D13" s="13">
        <v>90</v>
      </c>
      <c r="E13" s="13" t="str">
        <f t="shared" si="0"/>
        <v>Standard Price</v>
      </c>
      <c r="F13" s="13">
        <v>40</v>
      </c>
      <c r="G13" s="13" t="s">
        <v>13</v>
      </c>
    </row>
    <row r="14" spans="1:10" x14ac:dyDescent="0.3">
      <c r="A14" s="12" t="s">
        <v>43</v>
      </c>
      <c r="B14" s="12" t="s">
        <v>15</v>
      </c>
      <c r="C14" s="12" t="s">
        <v>44</v>
      </c>
      <c r="D14" s="12">
        <v>120</v>
      </c>
      <c r="E14" s="12" t="str">
        <f t="shared" si="0"/>
        <v>Standard Price</v>
      </c>
      <c r="F14" s="12">
        <v>35</v>
      </c>
      <c r="G14" s="12" t="s">
        <v>17</v>
      </c>
    </row>
    <row r="15" spans="1:10" x14ac:dyDescent="0.3">
      <c r="A15" s="13" t="s">
        <v>45</v>
      </c>
      <c r="B15" s="13" t="s">
        <v>46</v>
      </c>
      <c r="C15" s="13" t="s">
        <v>47</v>
      </c>
      <c r="D15" s="13">
        <v>150</v>
      </c>
      <c r="E15" s="13" t="str">
        <f t="shared" si="0"/>
        <v>Standard Price</v>
      </c>
      <c r="F15" s="13">
        <v>15</v>
      </c>
      <c r="G15" s="13" t="s">
        <v>9</v>
      </c>
    </row>
    <row r="16" spans="1:10" x14ac:dyDescent="0.3">
      <c r="A16" s="12" t="s">
        <v>48</v>
      </c>
      <c r="B16" s="12" t="s">
        <v>26</v>
      </c>
      <c r="C16" s="12" t="s">
        <v>49</v>
      </c>
      <c r="D16" s="12">
        <v>250</v>
      </c>
      <c r="E16" s="12" t="str">
        <f t="shared" si="0"/>
        <v>Standard Price</v>
      </c>
      <c r="F16" s="12">
        <v>20</v>
      </c>
      <c r="G16" s="12" t="s">
        <v>9</v>
      </c>
    </row>
    <row r="17" spans="1:7" x14ac:dyDescent="0.3">
      <c r="A17" s="13" t="s">
        <v>50</v>
      </c>
      <c r="B17" s="13" t="s">
        <v>51</v>
      </c>
      <c r="C17" s="13" t="s">
        <v>52</v>
      </c>
      <c r="D17" s="13">
        <v>50</v>
      </c>
      <c r="E17" s="13" t="str">
        <f t="shared" si="0"/>
        <v>Standard Price</v>
      </c>
      <c r="F17" s="13">
        <v>35</v>
      </c>
      <c r="G17" s="13" t="s">
        <v>53</v>
      </c>
    </row>
    <row r="18" spans="1:7" x14ac:dyDescent="0.3">
      <c r="A18" s="12" t="s">
        <v>54</v>
      </c>
      <c r="B18" s="12" t="s">
        <v>46</v>
      </c>
      <c r="C18" s="12" t="s">
        <v>55</v>
      </c>
      <c r="D18" s="12">
        <v>160</v>
      </c>
      <c r="E18" s="12" t="str">
        <f t="shared" si="0"/>
        <v>Standard Price</v>
      </c>
      <c r="F18" s="12">
        <v>15</v>
      </c>
      <c r="G18" s="12" t="s">
        <v>9</v>
      </c>
    </row>
    <row r="19" spans="1:7" x14ac:dyDescent="0.3">
      <c r="A19" s="13" t="s">
        <v>56</v>
      </c>
      <c r="B19" s="13" t="s">
        <v>7</v>
      </c>
      <c r="C19" s="13" t="s">
        <v>57</v>
      </c>
      <c r="D19" s="13">
        <v>980</v>
      </c>
      <c r="E19" s="26" t="str">
        <f t="shared" si="0"/>
        <v>High Price</v>
      </c>
      <c r="F19" s="13">
        <v>10</v>
      </c>
      <c r="G19" s="13" t="s">
        <v>9</v>
      </c>
    </row>
    <row r="20" spans="1:7" x14ac:dyDescent="0.3">
      <c r="A20" s="12" t="s">
        <v>58</v>
      </c>
      <c r="B20" s="12" t="s">
        <v>59</v>
      </c>
      <c r="C20" s="12" t="s">
        <v>60</v>
      </c>
      <c r="D20" s="12">
        <v>150</v>
      </c>
      <c r="E20" s="12" t="str">
        <f t="shared" si="0"/>
        <v>Standard Price</v>
      </c>
      <c r="F20" s="12">
        <v>15</v>
      </c>
      <c r="G20" s="12" t="s">
        <v>13</v>
      </c>
    </row>
    <row r="21" spans="1:7" x14ac:dyDescent="0.3">
      <c r="A21" s="13" t="s">
        <v>61</v>
      </c>
      <c r="B21" s="13" t="s">
        <v>62</v>
      </c>
      <c r="C21" s="13" t="s">
        <v>63</v>
      </c>
      <c r="D21" s="13">
        <v>200</v>
      </c>
      <c r="E21" s="13" t="str">
        <f t="shared" si="0"/>
        <v>Standard Price</v>
      </c>
      <c r="F21" s="13">
        <v>10</v>
      </c>
      <c r="G21" s="13" t="s">
        <v>24</v>
      </c>
    </row>
    <row r="22" spans="1:7" x14ac:dyDescent="0.3">
      <c r="A22" s="12" t="s">
        <v>64</v>
      </c>
      <c r="B22" s="12" t="s">
        <v>65</v>
      </c>
      <c r="C22" s="12" t="s">
        <v>66</v>
      </c>
      <c r="D22" s="12">
        <v>700</v>
      </c>
      <c r="E22" s="25" t="str">
        <f t="shared" si="0"/>
        <v>High Price</v>
      </c>
      <c r="F22" s="12">
        <v>50</v>
      </c>
      <c r="G22" s="12" t="s">
        <v>9</v>
      </c>
    </row>
    <row r="23" spans="1:7" x14ac:dyDescent="0.3">
      <c r="A23" s="13" t="s">
        <v>67</v>
      </c>
      <c r="B23" s="13" t="s">
        <v>68</v>
      </c>
      <c r="C23" s="13" t="s">
        <v>69</v>
      </c>
      <c r="D23" s="13">
        <v>80</v>
      </c>
      <c r="E23" s="13" t="str">
        <f t="shared" si="0"/>
        <v>Standard Price</v>
      </c>
      <c r="F23" s="13">
        <v>20</v>
      </c>
      <c r="G23" s="13" t="s">
        <v>17</v>
      </c>
    </row>
    <row r="24" spans="1:7" x14ac:dyDescent="0.3">
      <c r="A24" s="12" t="s">
        <v>70</v>
      </c>
      <c r="B24" s="12" t="s">
        <v>71</v>
      </c>
      <c r="C24" s="12" t="s">
        <v>72</v>
      </c>
      <c r="D24" s="12">
        <v>150</v>
      </c>
      <c r="E24" s="12" t="str">
        <f t="shared" si="0"/>
        <v>Standard Price</v>
      </c>
      <c r="F24" s="12">
        <v>30</v>
      </c>
      <c r="G24" s="12" t="s">
        <v>9</v>
      </c>
    </row>
    <row r="25" spans="1:7" x14ac:dyDescent="0.3">
      <c r="A25" s="13" t="s">
        <v>73</v>
      </c>
      <c r="B25" s="13" t="s">
        <v>19</v>
      </c>
      <c r="C25" s="13" t="s">
        <v>74</v>
      </c>
      <c r="D25" s="13">
        <v>800</v>
      </c>
      <c r="E25" s="26" t="str">
        <f t="shared" si="0"/>
        <v>High Price</v>
      </c>
      <c r="F25" s="13">
        <v>45</v>
      </c>
      <c r="G25" s="13" t="s">
        <v>9</v>
      </c>
    </row>
    <row r="26" spans="1:7" x14ac:dyDescent="0.3">
      <c r="A26" s="13" t="s">
        <v>75</v>
      </c>
      <c r="B26" s="13" t="s">
        <v>59</v>
      </c>
      <c r="C26" s="13" t="s">
        <v>76</v>
      </c>
      <c r="D26" s="13">
        <v>130</v>
      </c>
      <c r="E26" s="13" t="str">
        <f t="shared" si="0"/>
        <v>Standard Price</v>
      </c>
      <c r="F26" s="13">
        <v>25</v>
      </c>
      <c r="G26" s="13" t="s">
        <v>13</v>
      </c>
    </row>
    <row r="27" spans="1:7" x14ac:dyDescent="0.3">
      <c r="A27" s="12" t="s">
        <v>77</v>
      </c>
      <c r="B27" s="12" t="s">
        <v>32</v>
      </c>
      <c r="C27" s="12" t="s">
        <v>78</v>
      </c>
      <c r="D27" s="12">
        <v>400</v>
      </c>
      <c r="E27" s="12" t="str">
        <f t="shared" si="0"/>
        <v>Standard Price</v>
      </c>
      <c r="F27" s="12">
        <v>40</v>
      </c>
      <c r="G27" s="12" t="s">
        <v>17</v>
      </c>
    </row>
    <row r="28" spans="1:7" x14ac:dyDescent="0.3">
      <c r="A28" s="12" t="s">
        <v>79</v>
      </c>
      <c r="B28" s="12" t="s">
        <v>80</v>
      </c>
      <c r="C28" s="12" t="s">
        <v>81</v>
      </c>
      <c r="D28" s="12">
        <v>60</v>
      </c>
      <c r="E28" s="12" t="str">
        <f t="shared" si="0"/>
        <v>Standard Price</v>
      </c>
      <c r="F28" s="12">
        <v>30</v>
      </c>
      <c r="G28" s="12" t="s">
        <v>13</v>
      </c>
    </row>
    <row r="29" spans="1:7" x14ac:dyDescent="0.3">
      <c r="A29" s="13" t="s">
        <v>82</v>
      </c>
      <c r="B29" s="13" t="s">
        <v>83</v>
      </c>
      <c r="C29" s="13" t="s">
        <v>84</v>
      </c>
      <c r="D29" s="13">
        <v>40</v>
      </c>
      <c r="E29" s="13" t="str">
        <f t="shared" si="0"/>
        <v>Standard Price</v>
      </c>
      <c r="F29" s="13">
        <v>10</v>
      </c>
      <c r="G29" s="13" t="s">
        <v>17</v>
      </c>
    </row>
    <row r="30" spans="1:7" x14ac:dyDescent="0.3">
      <c r="A30" s="12" t="s">
        <v>85</v>
      </c>
      <c r="B30" s="12" t="s">
        <v>71</v>
      </c>
      <c r="C30" s="12" t="s">
        <v>86</v>
      </c>
      <c r="D30" s="12">
        <v>130</v>
      </c>
      <c r="E30" s="12" t="str">
        <f t="shared" si="0"/>
        <v>Standard Price</v>
      </c>
      <c r="F30" s="12">
        <v>5</v>
      </c>
      <c r="G30" s="12" t="s">
        <v>9</v>
      </c>
    </row>
    <row r="31" spans="1:7" x14ac:dyDescent="0.3">
      <c r="A31" s="13" t="s">
        <v>87</v>
      </c>
      <c r="B31" s="13" t="s">
        <v>88</v>
      </c>
      <c r="C31" s="13" t="s">
        <v>89</v>
      </c>
      <c r="D31" s="13">
        <v>50</v>
      </c>
      <c r="E31" s="13" t="str">
        <f t="shared" si="0"/>
        <v>Standard Price</v>
      </c>
      <c r="F31" s="13">
        <v>50</v>
      </c>
      <c r="G31" s="13" t="s">
        <v>13</v>
      </c>
    </row>
    <row r="32" spans="1:7" x14ac:dyDescent="0.3">
      <c r="A32" s="13" t="s">
        <v>90</v>
      </c>
      <c r="B32" s="13" t="s">
        <v>91</v>
      </c>
      <c r="C32" s="13" t="s">
        <v>92</v>
      </c>
      <c r="D32" s="13">
        <v>100</v>
      </c>
      <c r="E32" s="13" t="str">
        <f t="shared" si="0"/>
        <v>Standard Price</v>
      </c>
      <c r="F32" s="13">
        <v>20</v>
      </c>
      <c r="G32" s="13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7D01-DF7E-42FC-96A9-13C56CE698FB}">
  <dimension ref="A1:K32"/>
  <sheetViews>
    <sheetView topLeftCell="A10" workbookViewId="0">
      <selection activeCell="F12" sqref="F12"/>
    </sheetView>
  </sheetViews>
  <sheetFormatPr defaultRowHeight="14.4" x14ac:dyDescent="0.3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6" bestFit="1" customWidth="1"/>
    <col min="6" max="6" width="12.88671875" bestFit="1" customWidth="1"/>
    <col min="7" max="7" width="13.44140625" bestFit="1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98</v>
      </c>
      <c r="F1" s="7" t="s">
        <v>4</v>
      </c>
      <c r="G1" s="7" t="s">
        <v>5</v>
      </c>
    </row>
    <row r="2" spans="1:11" ht="15" thickBot="1" x14ac:dyDescent="0.35">
      <c r="A2" s="12" t="s">
        <v>6</v>
      </c>
      <c r="B2" s="12" t="s">
        <v>7</v>
      </c>
      <c r="C2" s="12" t="s">
        <v>8</v>
      </c>
      <c r="D2" s="12">
        <v>1000</v>
      </c>
      <c r="E2" s="25" t="str">
        <f t="shared" ref="E2:E32" si="0">IF(D2&gt;500,"High Price","Standard Price")</f>
        <v>High Price</v>
      </c>
      <c r="F2" s="12">
        <v>30</v>
      </c>
      <c r="G2" s="12" t="s">
        <v>9</v>
      </c>
    </row>
    <row r="3" spans="1:11" x14ac:dyDescent="0.3">
      <c r="A3" s="13" t="s">
        <v>10</v>
      </c>
      <c r="B3" s="13" t="s">
        <v>11</v>
      </c>
      <c r="C3" s="13" t="s">
        <v>12</v>
      </c>
      <c r="D3" s="13">
        <v>80</v>
      </c>
      <c r="E3" s="13" t="str">
        <f t="shared" si="0"/>
        <v>Standard Price</v>
      </c>
      <c r="F3" s="13">
        <v>15</v>
      </c>
      <c r="G3" s="13" t="s">
        <v>13</v>
      </c>
      <c r="J3" s="8" t="s">
        <v>100</v>
      </c>
      <c r="K3" s="9">
        <f>SUMIF(Table1[Category],"Electronics",Table1[Price ($)])</f>
        <v>6870</v>
      </c>
    </row>
    <row r="4" spans="1:11" ht="15" thickBot="1" x14ac:dyDescent="0.35">
      <c r="A4" s="12" t="s">
        <v>14</v>
      </c>
      <c r="B4" s="12" t="s">
        <v>15</v>
      </c>
      <c r="C4" s="12" t="s">
        <v>16</v>
      </c>
      <c r="D4" s="12">
        <v>130</v>
      </c>
      <c r="E4" s="12" t="str">
        <f t="shared" si="0"/>
        <v>Standard Price</v>
      </c>
      <c r="F4" s="12">
        <v>40</v>
      </c>
      <c r="G4" s="12" t="s">
        <v>17</v>
      </c>
      <c r="J4" s="10" t="s">
        <v>101</v>
      </c>
      <c r="K4" s="11">
        <f>COUNTIF(Table1[Price ($)],"&lt;100")</f>
        <v>10</v>
      </c>
    </row>
    <row r="5" spans="1:11" x14ac:dyDescent="0.3">
      <c r="A5" s="13" t="s">
        <v>18</v>
      </c>
      <c r="B5" s="13" t="s">
        <v>19</v>
      </c>
      <c r="C5" s="13" t="s">
        <v>20</v>
      </c>
      <c r="D5" s="13">
        <v>900</v>
      </c>
      <c r="E5" s="26" t="str">
        <f t="shared" si="0"/>
        <v>High Price</v>
      </c>
      <c r="F5" s="13">
        <v>25</v>
      </c>
      <c r="G5" s="13" t="s">
        <v>9</v>
      </c>
    </row>
    <row r="6" spans="1:11" x14ac:dyDescent="0.3">
      <c r="A6" s="12" t="s">
        <v>21</v>
      </c>
      <c r="B6" s="12" t="s">
        <v>22</v>
      </c>
      <c r="C6" s="12" t="s">
        <v>23</v>
      </c>
      <c r="D6" s="12">
        <v>70</v>
      </c>
      <c r="E6" s="12" t="str">
        <f t="shared" si="0"/>
        <v>Standard Price</v>
      </c>
      <c r="F6" s="12">
        <v>20</v>
      </c>
      <c r="G6" s="12" t="s">
        <v>24</v>
      </c>
    </row>
    <row r="7" spans="1:11" x14ac:dyDescent="0.3">
      <c r="A7" s="13" t="s">
        <v>25</v>
      </c>
      <c r="B7" s="13" t="s">
        <v>26</v>
      </c>
      <c r="C7" s="13" t="s">
        <v>27</v>
      </c>
      <c r="D7" s="13">
        <v>200</v>
      </c>
      <c r="E7" s="13" t="str">
        <f t="shared" si="0"/>
        <v>Standard Price</v>
      </c>
      <c r="F7" s="13">
        <v>45</v>
      </c>
      <c r="G7" s="13" t="s">
        <v>9</v>
      </c>
    </row>
    <row r="8" spans="1:11" x14ac:dyDescent="0.3">
      <c r="A8" s="12" t="s">
        <v>28</v>
      </c>
      <c r="B8" s="12" t="s">
        <v>29</v>
      </c>
      <c r="C8" s="12" t="s">
        <v>30</v>
      </c>
      <c r="D8" s="12">
        <v>30</v>
      </c>
      <c r="E8" s="12" t="str">
        <f t="shared" si="0"/>
        <v>Standard Price</v>
      </c>
      <c r="F8" s="12">
        <v>5</v>
      </c>
      <c r="G8" s="12" t="s">
        <v>13</v>
      </c>
    </row>
    <row r="9" spans="1:11" x14ac:dyDescent="0.3">
      <c r="A9" s="13" t="s">
        <v>31</v>
      </c>
      <c r="B9" s="13" t="s">
        <v>32</v>
      </c>
      <c r="C9" s="13" t="s">
        <v>33</v>
      </c>
      <c r="D9" s="13">
        <v>90</v>
      </c>
      <c r="E9" s="13" t="str">
        <f t="shared" si="0"/>
        <v>Standard Price</v>
      </c>
      <c r="F9" s="13">
        <v>35</v>
      </c>
      <c r="G9" s="13" t="s">
        <v>17</v>
      </c>
    </row>
    <row r="10" spans="1:11" x14ac:dyDescent="0.3">
      <c r="A10" s="12" t="s">
        <v>34</v>
      </c>
      <c r="B10" s="12" t="s">
        <v>35</v>
      </c>
      <c r="C10" s="12" t="s">
        <v>36</v>
      </c>
      <c r="D10" s="12">
        <v>500</v>
      </c>
      <c r="E10" s="12" t="str">
        <f t="shared" si="0"/>
        <v>Standard Price</v>
      </c>
      <c r="F10" s="12">
        <v>50</v>
      </c>
      <c r="G10" s="12" t="s">
        <v>9</v>
      </c>
    </row>
    <row r="11" spans="1:11" x14ac:dyDescent="0.3">
      <c r="A11" s="13" t="s">
        <v>37</v>
      </c>
      <c r="B11" s="13" t="s">
        <v>38</v>
      </c>
      <c r="C11" s="13" t="s">
        <v>39</v>
      </c>
      <c r="D11" s="13">
        <v>130</v>
      </c>
      <c r="E11" s="13" t="str">
        <f t="shared" si="0"/>
        <v>Standard Price</v>
      </c>
      <c r="F11" s="13">
        <v>10</v>
      </c>
      <c r="G11" s="13" t="s">
        <v>24</v>
      </c>
    </row>
    <row r="12" spans="1:11" x14ac:dyDescent="0.3">
      <c r="A12" s="12" t="s">
        <v>40</v>
      </c>
      <c r="B12" s="12" t="s">
        <v>7</v>
      </c>
      <c r="C12" s="12" t="s">
        <v>41</v>
      </c>
      <c r="D12" s="12">
        <v>950</v>
      </c>
      <c r="E12" s="25" t="str">
        <f t="shared" si="0"/>
        <v>High Price</v>
      </c>
      <c r="F12" s="12">
        <v>25</v>
      </c>
      <c r="G12" s="12" t="s">
        <v>9</v>
      </c>
    </row>
    <row r="13" spans="1:11" x14ac:dyDescent="0.3">
      <c r="A13" s="13" t="s">
        <v>42</v>
      </c>
      <c r="B13" s="13" t="s">
        <v>11</v>
      </c>
      <c r="C13" s="13" t="s">
        <v>30</v>
      </c>
      <c r="D13" s="13">
        <v>90</v>
      </c>
      <c r="E13" s="13" t="str">
        <f t="shared" si="0"/>
        <v>Standard Price</v>
      </c>
      <c r="F13" s="13">
        <v>40</v>
      </c>
      <c r="G13" s="13" t="s">
        <v>13</v>
      </c>
    </row>
    <row r="14" spans="1:11" x14ac:dyDescent="0.3">
      <c r="A14" s="12" t="s">
        <v>43</v>
      </c>
      <c r="B14" s="12" t="s">
        <v>15</v>
      </c>
      <c r="C14" s="12" t="s">
        <v>44</v>
      </c>
      <c r="D14" s="12">
        <v>120</v>
      </c>
      <c r="E14" s="12" t="str">
        <f t="shared" si="0"/>
        <v>Standard Price</v>
      </c>
      <c r="F14" s="12">
        <v>35</v>
      </c>
      <c r="G14" s="12" t="s">
        <v>17</v>
      </c>
    </row>
    <row r="15" spans="1:11" x14ac:dyDescent="0.3">
      <c r="A15" s="13" t="s">
        <v>45</v>
      </c>
      <c r="B15" s="13" t="s">
        <v>46</v>
      </c>
      <c r="C15" s="13" t="s">
        <v>47</v>
      </c>
      <c r="D15" s="13">
        <v>150</v>
      </c>
      <c r="E15" s="13" t="str">
        <f t="shared" si="0"/>
        <v>Standard Price</v>
      </c>
      <c r="F15" s="13">
        <v>15</v>
      </c>
      <c r="G15" s="13" t="s">
        <v>9</v>
      </c>
    </row>
    <row r="16" spans="1:11" x14ac:dyDescent="0.3">
      <c r="A16" s="12" t="s">
        <v>48</v>
      </c>
      <c r="B16" s="12" t="s">
        <v>26</v>
      </c>
      <c r="C16" s="12" t="s">
        <v>49</v>
      </c>
      <c r="D16" s="12">
        <v>250</v>
      </c>
      <c r="E16" s="12" t="str">
        <f t="shared" si="0"/>
        <v>Standard Price</v>
      </c>
      <c r="F16" s="12">
        <v>20</v>
      </c>
      <c r="G16" s="12" t="s">
        <v>9</v>
      </c>
    </row>
    <row r="17" spans="1:7" x14ac:dyDescent="0.3">
      <c r="A17" s="13" t="s">
        <v>50</v>
      </c>
      <c r="B17" s="13" t="s">
        <v>51</v>
      </c>
      <c r="C17" s="13" t="s">
        <v>52</v>
      </c>
      <c r="D17" s="13">
        <v>50</v>
      </c>
      <c r="E17" s="13" t="str">
        <f t="shared" si="0"/>
        <v>Standard Price</v>
      </c>
      <c r="F17" s="13">
        <v>35</v>
      </c>
      <c r="G17" s="13" t="s">
        <v>53</v>
      </c>
    </row>
    <row r="18" spans="1:7" x14ac:dyDescent="0.3">
      <c r="A18" s="12" t="s">
        <v>54</v>
      </c>
      <c r="B18" s="12" t="s">
        <v>46</v>
      </c>
      <c r="C18" s="12" t="s">
        <v>55</v>
      </c>
      <c r="D18" s="12">
        <v>160</v>
      </c>
      <c r="E18" s="12" t="str">
        <f t="shared" si="0"/>
        <v>Standard Price</v>
      </c>
      <c r="F18" s="12">
        <v>15</v>
      </c>
      <c r="G18" s="12" t="s">
        <v>9</v>
      </c>
    </row>
    <row r="19" spans="1:7" x14ac:dyDescent="0.3">
      <c r="A19" s="13" t="s">
        <v>56</v>
      </c>
      <c r="B19" s="13" t="s">
        <v>7</v>
      </c>
      <c r="C19" s="13" t="s">
        <v>57</v>
      </c>
      <c r="D19" s="13">
        <v>980</v>
      </c>
      <c r="E19" s="26" t="str">
        <f t="shared" si="0"/>
        <v>High Price</v>
      </c>
      <c r="F19" s="13">
        <v>10</v>
      </c>
      <c r="G19" s="13" t="s">
        <v>9</v>
      </c>
    </row>
    <row r="20" spans="1:7" x14ac:dyDescent="0.3">
      <c r="A20" s="12" t="s">
        <v>58</v>
      </c>
      <c r="B20" s="12" t="s">
        <v>59</v>
      </c>
      <c r="C20" s="12" t="s">
        <v>60</v>
      </c>
      <c r="D20" s="12">
        <v>150</v>
      </c>
      <c r="E20" s="12" t="str">
        <f t="shared" si="0"/>
        <v>Standard Price</v>
      </c>
      <c r="F20" s="12">
        <v>15</v>
      </c>
      <c r="G20" s="12" t="s">
        <v>13</v>
      </c>
    </row>
    <row r="21" spans="1:7" x14ac:dyDescent="0.3">
      <c r="A21" s="13" t="s">
        <v>61</v>
      </c>
      <c r="B21" s="13" t="s">
        <v>62</v>
      </c>
      <c r="C21" s="13" t="s">
        <v>63</v>
      </c>
      <c r="D21" s="13">
        <v>200</v>
      </c>
      <c r="E21" s="13" t="str">
        <f t="shared" si="0"/>
        <v>Standard Price</v>
      </c>
      <c r="F21" s="13">
        <v>10</v>
      </c>
      <c r="G21" s="13" t="s">
        <v>24</v>
      </c>
    </row>
    <row r="22" spans="1:7" x14ac:dyDescent="0.3">
      <c r="A22" s="12" t="s">
        <v>64</v>
      </c>
      <c r="B22" s="12" t="s">
        <v>65</v>
      </c>
      <c r="C22" s="12" t="s">
        <v>66</v>
      </c>
      <c r="D22" s="12">
        <v>700</v>
      </c>
      <c r="E22" s="25" t="str">
        <f t="shared" si="0"/>
        <v>High Price</v>
      </c>
      <c r="F22" s="12">
        <v>50</v>
      </c>
      <c r="G22" s="12" t="s">
        <v>9</v>
      </c>
    </row>
    <row r="23" spans="1:7" x14ac:dyDescent="0.3">
      <c r="A23" s="13" t="s">
        <v>67</v>
      </c>
      <c r="B23" s="13" t="s">
        <v>68</v>
      </c>
      <c r="C23" s="13" t="s">
        <v>69</v>
      </c>
      <c r="D23" s="13">
        <v>80</v>
      </c>
      <c r="E23" s="13" t="str">
        <f t="shared" si="0"/>
        <v>Standard Price</v>
      </c>
      <c r="F23" s="13">
        <v>20</v>
      </c>
      <c r="G23" s="13" t="s">
        <v>17</v>
      </c>
    </row>
    <row r="24" spans="1:7" x14ac:dyDescent="0.3">
      <c r="A24" s="12" t="s">
        <v>70</v>
      </c>
      <c r="B24" s="12" t="s">
        <v>71</v>
      </c>
      <c r="C24" s="12" t="s">
        <v>72</v>
      </c>
      <c r="D24" s="12">
        <v>150</v>
      </c>
      <c r="E24" s="12" t="str">
        <f t="shared" si="0"/>
        <v>Standard Price</v>
      </c>
      <c r="F24" s="12">
        <v>30</v>
      </c>
      <c r="G24" s="12" t="s">
        <v>9</v>
      </c>
    </row>
    <row r="25" spans="1:7" x14ac:dyDescent="0.3">
      <c r="A25" s="12" t="s">
        <v>73</v>
      </c>
      <c r="B25" s="12" t="s">
        <v>19</v>
      </c>
      <c r="C25" s="12" t="s">
        <v>74</v>
      </c>
      <c r="D25" s="12">
        <v>800</v>
      </c>
      <c r="E25" s="25" t="str">
        <f t="shared" si="0"/>
        <v>High Price</v>
      </c>
      <c r="F25" s="12">
        <v>45</v>
      </c>
      <c r="G25" s="12" t="s">
        <v>9</v>
      </c>
    </row>
    <row r="26" spans="1:7" x14ac:dyDescent="0.3">
      <c r="A26" s="13" t="s">
        <v>75</v>
      </c>
      <c r="B26" s="13" t="s">
        <v>59</v>
      </c>
      <c r="C26" s="13" t="s">
        <v>76</v>
      </c>
      <c r="D26" s="13">
        <v>130</v>
      </c>
      <c r="E26" s="13" t="str">
        <f t="shared" si="0"/>
        <v>Standard Price</v>
      </c>
      <c r="F26" s="13">
        <v>25</v>
      </c>
      <c r="G26" s="13" t="s">
        <v>13</v>
      </c>
    </row>
    <row r="27" spans="1:7" x14ac:dyDescent="0.3">
      <c r="A27" s="12" t="s">
        <v>77</v>
      </c>
      <c r="B27" s="12" t="s">
        <v>32</v>
      </c>
      <c r="C27" s="12" t="s">
        <v>78</v>
      </c>
      <c r="D27" s="12">
        <v>400</v>
      </c>
      <c r="E27" s="12" t="str">
        <f t="shared" si="0"/>
        <v>Standard Price</v>
      </c>
      <c r="F27" s="12">
        <v>40</v>
      </c>
      <c r="G27" s="12" t="s">
        <v>17</v>
      </c>
    </row>
    <row r="28" spans="1:7" x14ac:dyDescent="0.3">
      <c r="A28" s="12" t="s">
        <v>79</v>
      </c>
      <c r="B28" s="12" t="s">
        <v>80</v>
      </c>
      <c r="C28" s="12" t="s">
        <v>81</v>
      </c>
      <c r="D28" s="12">
        <v>60</v>
      </c>
      <c r="E28" s="12" t="str">
        <f t="shared" si="0"/>
        <v>Standard Price</v>
      </c>
      <c r="F28" s="12">
        <v>30</v>
      </c>
      <c r="G28" s="12" t="s">
        <v>13</v>
      </c>
    </row>
    <row r="29" spans="1:7" x14ac:dyDescent="0.3">
      <c r="A29" s="13" t="s">
        <v>82</v>
      </c>
      <c r="B29" s="13" t="s">
        <v>83</v>
      </c>
      <c r="C29" s="13" t="s">
        <v>84</v>
      </c>
      <c r="D29" s="13">
        <v>40</v>
      </c>
      <c r="E29" s="13" t="str">
        <f t="shared" si="0"/>
        <v>Standard Price</v>
      </c>
      <c r="F29" s="13">
        <v>10</v>
      </c>
      <c r="G29" s="13" t="s">
        <v>17</v>
      </c>
    </row>
    <row r="30" spans="1:7" x14ac:dyDescent="0.3">
      <c r="A30" s="12" t="s">
        <v>85</v>
      </c>
      <c r="B30" s="12" t="s">
        <v>71</v>
      </c>
      <c r="C30" s="12" t="s">
        <v>86</v>
      </c>
      <c r="D30" s="12">
        <v>130</v>
      </c>
      <c r="E30" s="12" t="str">
        <f t="shared" si="0"/>
        <v>Standard Price</v>
      </c>
      <c r="F30" s="12">
        <v>5</v>
      </c>
      <c r="G30" s="12" t="s">
        <v>9</v>
      </c>
    </row>
    <row r="31" spans="1:7" x14ac:dyDescent="0.3">
      <c r="A31" s="13" t="s">
        <v>87</v>
      </c>
      <c r="B31" s="13" t="s">
        <v>88</v>
      </c>
      <c r="C31" s="13" t="s">
        <v>89</v>
      </c>
      <c r="D31" s="13">
        <v>50</v>
      </c>
      <c r="E31" s="13" t="str">
        <f t="shared" si="0"/>
        <v>Standard Price</v>
      </c>
      <c r="F31" s="13">
        <v>50</v>
      </c>
      <c r="G31" s="13" t="s">
        <v>13</v>
      </c>
    </row>
    <row r="32" spans="1:7" x14ac:dyDescent="0.3">
      <c r="A32" s="13" t="s">
        <v>90</v>
      </c>
      <c r="B32" s="13" t="s">
        <v>91</v>
      </c>
      <c r="C32" s="13" t="s">
        <v>92</v>
      </c>
      <c r="D32" s="13">
        <v>100</v>
      </c>
      <c r="E32" s="13" t="str">
        <f t="shared" si="0"/>
        <v>Standard Price</v>
      </c>
      <c r="F32" s="13">
        <v>20</v>
      </c>
      <c r="G32" s="13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17CB-06DA-49ED-93E3-95C61913EB55}">
  <dimension ref="A1:J32"/>
  <sheetViews>
    <sheetView workbookViewId="0">
      <selection activeCell="D6" sqref="D6"/>
    </sheetView>
  </sheetViews>
  <sheetFormatPr defaultRowHeight="14.4" x14ac:dyDescent="0.3"/>
  <cols>
    <col min="1" max="1" width="14.77734375" bestFit="1" customWidth="1"/>
    <col min="2" max="2" width="14.77734375" customWidth="1"/>
    <col min="3" max="3" width="17.77734375" bestFit="1" customWidth="1"/>
    <col min="4" max="4" width="14.77734375" customWidth="1"/>
    <col min="5" max="5" width="18" bestFit="1" customWidth="1"/>
    <col min="6" max="6" width="16.21875" bestFit="1" customWidth="1"/>
    <col min="7" max="7" width="12.77734375" bestFit="1" customWidth="1"/>
    <col min="8" max="8" width="16" bestFit="1" customWidth="1"/>
    <col min="9" max="9" width="12.88671875" bestFit="1" customWidth="1"/>
    <col min="10" max="10" width="13.44140625" bestFit="1" customWidth="1"/>
  </cols>
  <sheetData>
    <row r="1" spans="1:10" x14ac:dyDescent="0.3">
      <c r="A1" s="27" t="s">
        <v>0</v>
      </c>
      <c r="B1" s="27" t="s">
        <v>104</v>
      </c>
      <c r="C1" s="27" t="s">
        <v>102</v>
      </c>
      <c r="D1" s="27" t="s">
        <v>103</v>
      </c>
      <c r="E1" s="27" t="s">
        <v>1</v>
      </c>
      <c r="F1" s="27" t="s">
        <v>2</v>
      </c>
      <c r="G1" s="27" t="s">
        <v>3</v>
      </c>
      <c r="H1" s="27" t="s">
        <v>98</v>
      </c>
      <c r="I1" s="27" t="s">
        <v>4</v>
      </c>
      <c r="J1" s="27" t="s">
        <v>5</v>
      </c>
    </row>
    <row r="2" spans="1:10" x14ac:dyDescent="0.3">
      <c r="A2" s="28" t="s">
        <v>6</v>
      </c>
      <c r="B2" s="28" t="str">
        <f>LEFT(Table6[[#This Row],[Product ID]],2)</f>
        <v>28</v>
      </c>
      <c r="C2" s="28" t="str">
        <f>RIGHT(Table6[[#This Row],[Product ID]],2)</f>
        <v>US</v>
      </c>
      <c r="D2" s="28" t="str">
        <f>MID(Table6[[#This Row],[Product ID]],4,3)</f>
        <v>JAN</v>
      </c>
      <c r="E2" s="28" t="s">
        <v>7</v>
      </c>
      <c r="F2" s="28" t="s">
        <v>8</v>
      </c>
      <c r="G2" s="28">
        <v>1000</v>
      </c>
      <c r="H2" s="29" t="str">
        <f t="shared" ref="H2:H32" si="0">IF(G2&gt;500,"High Price","Standard Price")</f>
        <v>High Price</v>
      </c>
      <c r="I2" s="28">
        <v>30</v>
      </c>
      <c r="J2" s="28" t="s">
        <v>9</v>
      </c>
    </row>
    <row r="3" spans="1:10" x14ac:dyDescent="0.3">
      <c r="A3" s="30" t="s">
        <v>10</v>
      </c>
      <c r="B3" s="30" t="str">
        <f>LEFT(Table6[[#This Row],[Product ID]],2)</f>
        <v>15</v>
      </c>
      <c r="C3" s="30" t="str">
        <f>RIGHT(Table6[[#This Row],[Product ID]],2)</f>
        <v>US</v>
      </c>
      <c r="D3" s="30" t="str">
        <f>MID(Table6[[#This Row],[Product ID]],4,3)</f>
        <v>FEB</v>
      </c>
      <c r="E3" s="30" t="s">
        <v>11</v>
      </c>
      <c r="F3" s="30" t="s">
        <v>12</v>
      </c>
      <c r="G3" s="30">
        <v>80</v>
      </c>
      <c r="H3" s="30" t="str">
        <f t="shared" si="0"/>
        <v>Standard Price</v>
      </c>
      <c r="I3" s="30">
        <v>15</v>
      </c>
      <c r="J3" s="30" t="s">
        <v>13</v>
      </c>
    </row>
    <row r="4" spans="1:10" x14ac:dyDescent="0.3">
      <c r="A4" s="28" t="s">
        <v>14</v>
      </c>
      <c r="B4" s="28" t="str">
        <f>LEFT(Table6[[#This Row],[Product ID]],2)</f>
        <v>03</v>
      </c>
      <c r="C4" s="28" t="str">
        <f>RIGHT(Table6[[#This Row],[Product ID]],2)</f>
        <v>US</v>
      </c>
      <c r="D4" s="28" t="str">
        <f>MID(Table6[[#This Row],[Product ID]],4,3)</f>
        <v>MAR</v>
      </c>
      <c r="E4" s="28" t="s">
        <v>15</v>
      </c>
      <c r="F4" s="28" t="s">
        <v>16</v>
      </c>
      <c r="G4" s="28">
        <v>130</v>
      </c>
      <c r="H4" s="28" t="str">
        <f t="shared" si="0"/>
        <v>Standard Price</v>
      </c>
      <c r="I4" s="28">
        <v>40</v>
      </c>
      <c r="J4" s="28" t="s">
        <v>17</v>
      </c>
    </row>
    <row r="5" spans="1:10" x14ac:dyDescent="0.3">
      <c r="A5" s="30" t="s">
        <v>18</v>
      </c>
      <c r="B5" s="30" t="str">
        <f>LEFT(Table6[[#This Row],[Product ID]],2)</f>
        <v>11</v>
      </c>
      <c r="C5" s="30" t="str">
        <f>RIGHT(Table6[[#This Row],[Product ID]],2)</f>
        <v>US</v>
      </c>
      <c r="D5" s="30" t="str">
        <f>MID(Table6[[#This Row],[Product ID]],4,3)</f>
        <v>APR</v>
      </c>
      <c r="E5" s="30" t="s">
        <v>19</v>
      </c>
      <c r="F5" s="30" t="s">
        <v>20</v>
      </c>
      <c r="G5" s="30">
        <v>900</v>
      </c>
      <c r="H5" s="31" t="str">
        <f t="shared" si="0"/>
        <v>High Price</v>
      </c>
      <c r="I5" s="30">
        <v>25</v>
      </c>
      <c r="J5" s="30" t="s">
        <v>9</v>
      </c>
    </row>
    <row r="6" spans="1:10" x14ac:dyDescent="0.3">
      <c r="A6" s="28" t="s">
        <v>21</v>
      </c>
      <c r="B6" s="28" t="str">
        <f>LEFT(Table6[[#This Row],[Product ID]],2)</f>
        <v>22</v>
      </c>
      <c r="C6" s="28" t="str">
        <f>RIGHT(Table6[[#This Row],[Product ID]],2)</f>
        <v>US</v>
      </c>
      <c r="D6" s="28" t="str">
        <f>MID(Table6[[#This Row],[Product ID]],4,3)</f>
        <v>MAY</v>
      </c>
      <c r="E6" s="28" t="s">
        <v>22</v>
      </c>
      <c r="F6" s="28" t="s">
        <v>23</v>
      </c>
      <c r="G6" s="28">
        <v>70</v>
      </c>
      <c r="H6" s="28" t="str">
        <f t="shared" si="0"/>
        <v>Standard Price</v>
      </c>
      <c r="I6" s="28">
        <v>20</v>
      </c>
      <c r="J6" s="28" t="s">
        <v>24</v>
      </c>
    </row>
    <row r="7" spans="1:10" x14ac:dyDescent="0.3">
      <c r="A7" s="30" t="s">
        <v>25</v>
      </c>
      <c r="B7" s="30" t="str">
        <f>LEFT(Table6[[#This Row],[Product ID]],2)</f>
        <v>07</v>
      </c>
      <c r="C7" s="30" t="str">
        <f>RIGHT(Table6[[#This Row],[Product ID]],2)</f>
        <v>UK</v>
      </c>
      <c r="D7" s="30" t="str">
        <f>MID(Table6[[#This Row],[Product ID]],4,3)</f>
        <v>JUN</v>
      </c>
      <c r="E7" s="30" t="s">
        <v>26</v>
      </c>
      <c r="F7" s="30" t="s">
        <v>27</v>
      </c>
      <c r="G7" s="30">
        <v>200</v>
      </c>
      <c r="H7" s="30" t="str">
        <f t="shared" si="0"/>
        <v>Standard Price</v>
      </c>
      <c r="I7" s="30">
        <v>45</v>
      </c>
      <c r="J7" s="30" t="s">
        <v>9</v>
      </c>
    </row>
    <row r="8" spans="1:10" x14ac:dyDescent="0.3">
      <c r="A8" s="28" t="s">
        <v>28</v>
      </c>
      <c r="B8" s="28" t="str">
        <f>LEFT(Table6[[#This Row],[Product ID]],2)</f>
        <v>19</v>
      </c>
      <c r="C8" s="28" t="str">
        <f>RIGHT(Table6[[#This Row],[Product ID]],2)</f>
        <v>UK</v>
      </c>
      <c r="D8" s="28" t="str">
        <f>MID(Table6[[#This Row],[Product ID]],4,3)</f>
        <v>JUL</v>
      </c>
      <c r="E8" s="28" t="s">
        <v>29</v>
      </c>
      <c r="F8" s="28" t="s">
        <v>30</v>
      </c>
      <c r="G8" s="28">
        <v>30</v>
      </c>
      <c r="H8" s="28" t="str">
        <f t="shared" si="0"/>
        <v>Standard Price</v>
      </c>
      <c r="I8" s="28">
        <v>5</v>
      </c>
      <c r="J8" s="28" t="s">
        <v>13</v>
      </c>
    </row>
    <row r="9" spans="1:10" x14ac:dyDescent="0.3">
      <c r="A9" s="30" t="s">
        <v>31</v>
      </c>
      <c r="B9" s="30" t="str">
        <f>LEFT(Table6[[#This Row],[Product ID]],2)</f>
        <v>23</v>
      </c>
      <c r="C9" s="30" t="str">
        <f>RIGHT(Table6[[#This Row],[Product ID]],2)</f>
        <v>UK</v>
      </c>
      <c r="D9" s="30" t="str">
        <f>MID(Table6[[#This Row],[Product ID]],4,3)</f>
        <v>AUG</v>
      </c>
      <c r="E9" s="30" t="s">
        <v>32</v>
      </c>
      <c r="F9" s="30" t="s">
        <v>33</v>
      </c>
      <c r="G9" s="30">
        <v>90</v>
      </c>
      <c r="H9" s="30" t="str">
        <f t="shared" si="0"/>
        <v>Standard Price</v>
      </c>
      <c r="I9" s="30">
        <v>35</v>
      </c>
      <c r="J9" s="30" t="s">
        <v>17</v>
      </c>
    </row>
    <row r="10" spans="1:10" x14ac:dyDescent="0.3">
      <c r="A10" s="28" t="s">
        <v>34</v>
      </c>
      <c r="B10" s="28" t="str">
        <f>LEFT(Table6[[#This Row],[Product ID]],2)</f>
        <v>05</v>
      </c>
      <c r="C10" s="28" t="str">
        <f>RIGHT(Table6[[#This Row],[Product ID]],2)</f>
        <v>UK</v>
      </c>
      <c r="D10" s="28" t="str">
        <f>MID(Table6[[#This Row],[Product ID]],4,3)</f>
        <v>SEP</v>
      </c>
      <c r="E10" s="28" t="s">
        <v>35</v>
      </c>
      <c r="F10" s="28" t="s">
        <v>36</v>
      </c>
      <c r="G10" s="28">
        <v>500</v>
      </c>
      <c r="H10" s="28" t="str">
        <f t="shared" si="0"/>
        <v>Standard Price</v>
      </c>
      <c r="I10" s="28">
        <v>50</v>
      </c>
      <c r="J10" s="28" t="s">
        <v>9</v>
      </c>
    </row>
    <row r="11" spans="1:10" x14ac:dyDescent="0.3">
      <c r="A11" s="30" t="s">
        <v>37</v>
      </c>
      <c r="B11" s="30" t="str">
        <f>LEFT(Table6[[#This Row],[Product ID]],2)</f>
        <v>14</v>
      </c>
      <c r="C11" s="30" t="str">
        <f>RIGHT(Table6[[#This Row],[Product ID]],2)</f>
        <v>UK</v>
      </c>
      <c r="D11" s="30" t="str">
        <f>MID(Table6[[#This Row],[Product ID]],4,3)</f>
        <v>OCT</v>
      </c>
      <c r="E11" s="30" t="s">
        <v>38</v>
      </c>
      <c r="F11" s="30" t="s">
        <v>39</v>
      </c>
      <c r="G11" s="30">
        <v>130</v>
      </c>
      <c r="H11" s="30" t="str">
        <f t="shared" si="0"/>
        <v>Standard Price</v>
      </c>
      <c r="I11" s="30">
        <v>10</v>
      </c>
      <c r="J11" s="30" t="s">
        <v>24</v>
      </c>
    </row>
    <row r="12" spans="1:10" x14ac:dyDescent="0.3">
      <c r="A12" s="28" t="s">
        <v>40</v>
      </c>
      <c r="B12" s="28" t="str">
        <f>LEFT(Table6[[#This Row],[Product ID]],2)</f>
        <v>17</v>
      </c>
      <c r="C12" s="28" t="str">
        <f>RIGHT(Table6[[#This Row],[Product ID]],2)</f>
        <v>IN</v>
      </c>
      <c r="D12" s="28" t="str">
        <f>MID(Table6[[#This Row],[Product ID]],4,3)</f>
        <v>JUN</v>
      </c>
      <c r="E12" s="28" t="s">
        <v>7</v>
      </c>
      <c r="F12" s="28" t="s">
        <v>41</v>
      </c>
      <c r="G12" s="28">
        <v>950</v>
      </c>
      <c r="H12" s="29" t="str">
        <f t="shared" si="0"/>
        <v>High Price</v>
      </c>
      <c r="I12" s="28">
        <v>25</v>
      </c>
      <c r="J12" s="28" t="s">
        <v>9</v>
      </c>
    </row>
    <row r="13" spans="1:10" x14ac:dyDescent="0.3">
      <c r="A13" s="30" t="s">
        <v>42</v>
      </c>
      <c r="B13" s="30" t="str">
        <f>LEFT(Table6[[#This Row],[Product ID]],2)</f>
        <v>25</v>
      </c>
      <c r="C13" s="30" t="str">
        <f>RIGHT(Table6[[#This Row],[Product ID]],2)</f>
        <v>AU</v>
      </c>
      <c r="D13" s="30" t="str">
        <f>MID(Table6[[#This Row],[Product ID]],4,3)</f>
        <v>NOV</v>
      </c>
      <c r="E13" s="30" t="s">
        <v>11</v>
      </c>
      <c r="F13" s="30" t="s">
        <v>30</v>
      </c>
      <c r="G13" s="30">
        <v>90</v>
      </c>
      <c r="H13" s="30" t="str">
        <f t="shared" si="0"/>
        <v>Standard Price</v>
      </c>
      <c r="I13" s="30">
        <v>40</v>
      </c>
      <c r="J13" s="30" t="s">
        <v>13</v>
      </c>
    </row>
    <row r="14" spans="1:10" x14ac:dyDescent="0.3">
      <c r="A14" s="28" t="s">
        <v>43</v>
      </c>
      <c r="B14" s="28" t="str">
        <f>LEFT(Table6[[#This Row],[Product ID]],2)</f>
        <v>08</v>
      </c>
      <c r="C14" s="28" t="str">
        <f>RIGHT(Table6[[#This Row],[Product ID]],2)</f>
        <v>DE</v>
      </c>
      <c r="D14" s="28" t="str">
        <f>MID(Table6[[#This Row],[Product ID]],4,3)</f>
        <v>DEC</v>
      </c>
      <c r="E14" s="28" t="s">
        <v>15</v>
      </c>
      <c r="F14" s="28" t="s">
        <v>44</v>
      </c>
      <c r="G14" s="28">
        <v>120</v>
      </c>
      <c r="H14" s="28" t="str">
        <f t="shared" si="0"/>
        <v>Standard Price</v>
      </c>
      <c r="I14" s="28">
        <v>35</v>
      </c>
      <c r="J14" s="28" t="s">
        <v>17</v>
      </c>
    </row>
    <row r="15" spans="1:10" x14ac:dyDescent="0.3">
      <c r="A15" s="30" t="s">
        <v>45</v>
      </c>
      <c r="B15" s="30" t="str">
        <f>LEFT(Table6[[#This Row],[Product ID]],2)</f>
        <v>18</v>
      </c>
      <c r="C15" s="30" t="str">
        <f>RIGHT(Table6[[#This Row],[Product ID]],2)</f>
        <v>CA</v>
      </c>
      <c r="D15" s="30" t="str">
        <f>MID(Table6[[#This Row],[Product ID]],4,3)</f>
        <v>FEB</v>
      </c>
      <c r="E15" s="30" t="s">
        <v>46</v>
      </c>
      <c r="F15" s="30" t="s">
        <v>47</v>
      </c>
      <c r="G15" s="30">
        <v>150</v>
      </c>
      <c r="H15" s="30" t="str">
        <f t="shared" si="0"/>
        <v>Standard Price</v>
      </c>
      <c r="I15" s="30">
        <v>15</v>
      </c>
      <c r="J15" s="30" t="s">
        <v>9</v>
      </c>
    </row>
    <row r="16" spans="1:10" x14ac:dyDescent="0.3">
      <c r="A16" s="28" t="s">
        <v>48</v>
      </c>
      <c r="B16" s="28" t="str">
        <f>LEFT(Table6[[#This Row],[Product ID]],2)</f>
        <v>16</v>
      </c>
      <c r="C16" s="28" t="str">
        <f>RIGHT(Table6[[#This Row],[Product ID]],2)</f>
        <v>ES</v>
      </c>
      <c r="D16" s="28" t="str">
        <f>MID(Table6[[#This Row],[Product ID]],4,3)</f>
        <v>APR</v>
      </c>
      <c r="E16" s="28" t="s">
        <v>26</v>
      </c>
      <c r="F16" s="28" t="s">
        <v>49</v>
      </c>
      <c r="G16" s="28">
        <v>250</v>
      </c>
      <c r="H16" s="28" t="str">
        <f t="shared" si="0"/>
        <v>Standard Price</v>
      </c>
      <c r="I16" s="28">
        <v>20</v>
      </c>
      <c r="J16" s="28" t="s">
        <v>9</v>
      </c>
    </row>
    <row r="17" spans="1:10" x14ac:dyDescent="0.3">
      <c r="A17" s="30" t="s">
        <v>50</v>
      </c>
      <c r="B17" s="30" t="str">
        <f>LEFT(Table6[[#This Row],[Product ID]],2)</f>
        <v>21</v>
      </c>
      <c r="C17" s="30" t="str">
        <f>RIGHT(Table6[[#This Row],[Product ID]],2)</f>
        <v>CA</v>
      </c>
      <c r="D17" s="30" t="str">
        <f>MID(Table6[[#This Row],[Product ID]],4,3)</f>
        <v>AUG</v>
      </c>
      <c r="E17" s="30" t="s">
        <v>51</v>
      </c>
      <c r="F17" s="30" t="s">
        <v>52</v>
      </c>
      <c r="G17" s="30">
        <v>50</v>
      </c>
      <c r="H17" s="30" t="str">
        <f t="shared" si="0"/>
        <v>Standard Price</v>
      </c>
      <c r="I17" s="30">
        <v>35</v>
      </c>
      <c r="J17" s="30" t="s">
        <v>53</v>
      </c>
    </row>
    <row r="18" spans="1:10" x14ac:dyDescent="0.3">
      <c r="A18" s="28" t="s">
        <v>54</v>
      </c>
      <c r="B18" s="28" t="str">
        <f>LEFT(Table6[[#This Row],[Product ID]],2)</f>
        <v>20</v>
      </c>
      <c r="C18" s="28" t="str">
        <f>RIGHT(Table6[[#This Row],[Product ID]],2)</f>
        <v>CN</v>
      </c>
      <c r="D18" s="28" t="str">
        <f>MID(Table6[[#This Row],[Product ID]],4,3)</f>
        <v>AUG</v>
      </c>
      <c r="E18" s="28" t="s">
        <v>46</v>
      </c>
      <c r="F18" s="28" t="s">
        <v>55</v>
      </c>
      <c r="G18" s="28">
        <v>160</v>
      </c>
      <c r="H18" s="28" t="str">
        <f t="shared" si="0"/>
        <v>Standard Price</v>
      </c>
      <c r="I18" s="28">
        <v>15</v>
      </c>
      <c r="J18" s="28" t="s">
        <v>9</v>
      </c>
    </row>
    <row r="19" spans="1:10" x14ac:dyDescent="0.3">
      <c r="A19" s="30" t="s">
        <v>56</v>
      </c>
      <c r="B19" s="30" t="str">
        <f>LEFT(Table6[[#This Row],[Product ID]],2)</f>
        <v>27</v>
      </c>
      <c r="C19" s="30" t="str">
        <f>RIGHT(Table6[[#This Row],[Product ID]],2)</f>
        <v>IT</v>
      </c>
      <c r="D19" s="30" t="str">
        <f>MID(Table6[[#This Row],[Product ID]],4,3)</f>
        <v>JAN</v>
      </c>
      <c r="E19" s="30" t="s">
        <v>7</v>
      </c>
      <c r="F19" s="30" t="s">
        <v>57</v>
      </c>
      <c r="G19" s="30">
        <v>980</v>
      </c>
      <c r="H19" s="31" t="str">
        <f t="shared" si="0"/>
        <v>High Price</v>
      </c>
      <c r="I19" s="30">
        <v>10</v>
      </c>
      <c r="J19" s="30" t="s">
        <v>9</v>
      </c>
    </row>
    <row r="20" spans="1:10" x14ac:dyDescent="0.3">
      <c r="A20" s="28" t="s">
        <v>58</v>
      </c>
      <c r="B20" s="28" t="str">
        <f>LEFT(Table6[[#This Row],[Product ID]],2)</f>
        <v>01</v>
      </c>
      <c r="C20" s="28" t="str">
        <f>RIGHT(Table6[[#This Row],[Product ID]],2)</f>
        <v>UK</v>
      </c>
      <c r="D20" s="28" t="str">
        <f>MID(Table6[[#This Row],[Product ID]],4,3)</f>
        <v>MAR</v>
      </c>
      <c r="E20" s="28" t="s">
        <v>59</v>
      </c>
      <c r="F20" s="28" t="s">
        <v>60</v>
      </c>
      <c r="G20" s="28">
        <v>150</v>
      </c>
      <c r="H20" s="28" t="str">
        <f t="shared" si="0"/>
        <v>Standard Price</v>
      </c>
      <c r="I20" s="28">
        <v>15</v>
      </c>
      <c r="J20" s="28" t="s">
        <v>13</v>
      </c>
    </row>
    <row r="21" spans="1:10" x14ac:dyDescent="0.3">
      <c r="A21" s="30" t="s">
        <v>61</v>
      </c>
      <c r="B21" s="30" t="str">
        <f>LEFT(Table6[[#This Row],[Product ID]],2)</f>
        <v>14</v>
      </c>
      <c r="C21" s="30" t="str">
        <f>RIGHT(Table6[[#This Row],[Product ID]],2)</f>
        <v>US</v>
      </c>
      <c r="D21" s="30" t="str">
        <f>MID(Table6[[#This Row],[Product ID]],4,3)</f>
        <v>AUG</v>
      </c>
      <c r="E21" s="30" t="s">
        <v>62</v>
      </c>
      <c r="F21" s="30" t="s">
        <v>63</v>
      </c>
      <c r="G21" s="30">
        <v>200</v>
      </c>
      <c r="H21" s="30" t="str">
        <f t="shared" si="0"/>
        <v>Standard Price</v>
      </c>
      <c r="I21" s="30">
        <v>10</v>
      </c>
      <c r="J21" s="30" t="s">
        <v>24</v>
      </c>
    </row>
    <row r="22" spans="1:10" x14ac:dyDescent="0.3">
      <c r="A22" s="28" t="s">
        <v>64</v>
      </c>
      <c r="B22" s="28" t="str">
        <f>LEFT(Table6[[#This Row],[Product ID]],2)</f>
        <v>14</v>
      </c>
      <c r="C22" s="28" t="str">
        <f>RIGHT(Table6[[#This Row],[Product ID]],2)</f>
        <v>RU</v>
      </c>
      <c r="D22" s="28" t="str">
        <f>MID(Table6[[#This Row],[Product ID]],4,3)</f>
        <v>MAY</v>
      </c>
      <c r="E22" s="28" t="s">
        <v>65</v>
      </c>
      <c r="F22" s="28" t="s">
        <v>66</v>
      </c>
      <c r="G22" s="28">
        <v>700</v>
      </c>
      <c r="H22" s="29" t="str">
        <f t="shared" si="0"/>
        <v>High Price</v>
      </c>
      <c r="I22" s="28">
        <v>50</v>
      </c>
      <c r="J22" s="28" t="s">
        <v>9</v>
      </c>
    </row>
    <row r="23" spans="1:10" x14ac:dyDescent="0.3">
      <c r="A23" s="30" t="s">
        <v>67</v>
      </c>
      <c r="B23" s="30" t="str">
        <f>LEFT(Table6[[#This Row],[Product ID]],2)</f>
        <v>09</v>
      </c>
      <c r="C23" s="30" t="str">
        <f>RIGHT(Table6[[#This Row],[Product ID]],2)</f>
        <v>CA</v>
      </c>
      <c r="D23" s="30" t="str">
        <f>MID(Table6[[#This Row],[Product ID]],4,3)</f>
        <v>JAN</v>
      </c>
      <c r="E23" s="30" t="s">
        <v>68</v>
      </c>
      <c r="F23" s="30" t="s">
        <v>69</v>
      </c>
      <c r="G23" s="30">
        <v>80</v>
      </c>
      <c r="H23" s="30" t="str">
        <f t="shared" si="0"/>
        <v>Standard Price</v>
      </c>
      <c r="I23" s="30">
        <v>20</v>
      </c>
      <c r="J23" s="30" t="s">
        <v>17</v>
      </c>
    </row>
    <row r="24" spans="1:10" x14ac:dyDescent="0.3">
      <c r="A24" s="28" t="s">
        <v>70</v>
      </c>
      <c r="B24" s="28" t="str">
        <f>LEFT(Table6[[#This Row],[Product ID]],2)</f>
        <v>19</v>
      </c>
      <c r="C24" s="28" t="str">
        <f>RIGHT(Table6[[#This Row],[Product ID]],2)</f>
        <v>BR</v>
      </c>
      <c r="D24" s="28" t="str">
        <f>MID(Table6[[#This Row],[Product ID]],4,3)</f>
        <v>JUL</v>
      </c>
      <c r="E24" s="28" t="s">
        <v>71</v>
      </c>
      <c r="F24" s="28" t="s">
        <v>72</v>
      </c>
      <c r="G24" s="28">
        <v>150</v>
      </c>
      <c r="H24" s="28" t="str">
        <f t="shared" si="0"/>
        <v>Standard Price</v>
      </c>
      <c r="I24" s="28">
        <v>30</v>
      </c>
      <c r="J24" s="28" t="s">
        <v>9</v>
      </c>
    </row>
    <row r="25" spans="1:10" x14ac:dyDescent="0.3">
      <c r="A25" s="28" t="s">
        <v>73</v>
      </c>
      <c r="B25" s="28" t="str">
        <f>LEFT(Table6[[#This Row],[Product ID]],2)</f>
        <v>29</v>
      </c>
      <c r="C25" s="28" t="str">
        <f>RIGHT(Table6[[#This Row],[Product ID]],2)</f>
        <v>CA</v>
      </c>
      <c r="D25" s="28" t="str">
        <f>MID(Table6[[#This Row],[Product ID]],4,3)</f>
        <v>SEP</v>
      </c>
      <c r="E25" s="28" t="s">
        <v>19</v>
      </c>
      <c r="F25" s="28" t="s">
        <v>74</v>
      </c>
      <c r="G25" s="28">
        <v>800</v>
      </c>
      <c r="H25" s="29" t="str">
        <f t="shared" si="0"/>
        <v>High Price</v>
      </c>
      <c r="I25" s="28">
        <v>45</v>
      </c>
      <c r="J25" s="28" t="s">
        <v>9</v>
      </c>
    </row>
    <row r="26" spans="1:10" x14ac:dyDescent="0.3">
      <c r="A26" s="30" t="s">
        <v>75</v>
      </c>
      <c r="B26" s="30" t="str">
        <f>LEFT(Table6[[#This Row],[Product ID]],2)</f>
        <v>03</v>
      </c>
      <c r="C26" s="30" t="str">
        <f>RIGHT(Table6[[#This Row],[Product ID]],2)</f>
        <v>CA</v>
      </c>
      <c r="D26" s="30" t="str">
        <f>MID(Table6[[#This Row],[Product ID]],4,3)</f>
        <v>JUN</v>
      </c>
      <c r="E26" s="30" t="s">
        <v>59</v>
      </c>
      <c r="F26" s="30" t="s">
        <v>76</v>
      </c>
      <c r="G26" s="30">
        <v>130</v>
      </c>
      <c r="H26" s="30" t="str">
        <f t="shared" si="0"/>
        <v>Standard Price</v>
      </c>
      <c r="I26" s="30">
        <v>25</v>
      </c>
      <c r="J26" s="30" t="s">
        <v>13</v>
      </c>
    </row>
    <row r="27" spans="1:10" x14ac:dyDescent="0.3">
      <c r="A27" s="28" t="s">
        <v>77</v>
      </c>
      <c r="B27" s="28" t="str">
        <f>LEFT(Table6[[#This Row],[Product ID]],2)</f>
        <v>11</v>
      </c>
      <c r="C27" s="28" t="str">
        <f>RIGHT(Table6[[#This Row],[Product ID]],2)</f>
        <v>CA</v>
      </c>
      <c r="D27" s="28" t="str">
        <f>MID(Table6[[#This Row],[Product ID]],4,3)</f>
        <v>JUL</v>
      </c>
      <c r="E27" s="28" t="s">
        <v>32</v>
      </c>
      <c r="F27" s="28" t="s">
        <v>78</v>
      </c>
      <c r="G27" s="28">
        <v>400</v>
      </c>
      <c r="H27" s="28" t="str">
        <f t="shared" si="0"/>
        <v>Standard Price</v>
      </c>
      <c r="I27" s="28">
        <v>40</v>
      </c>
      <c r="J27" s="28" t="s">
        <v>17</v>
      </c>
    </row>
    <row r="28" spans="1:10" x14ac:dyDescent="0.3">
      <c r="A28" s="28" t="s">
        <v>79</v>
      </c>
      <c r="B28" s="28" t="str">
        <f>LEFT(Table6[[#This Row],[Product ID]],2)</f>
        <v>07</v>
      </c>
      <c r="C28" s="28" t="str">
        <f>RIGHT(Table6[[#This Row],[Product ID]],2)</f>
        <v>CA</v>
      </c>
      <c r="D28" s="28" t="str">
        <f>MID(Table6[[#This Row],[Product ID]],4,3)</f>
        <v>MAR</v>
      </c>
      <c r="E28" s="28" t="s">
        <v>80</v>
      </c>
      <c r="F28" s="28" t="s">
        <v>81</v>
      </c>
      <c r="G28" s="28">
        <v>60</v>
      </c>
      <c r="H28" s="28" t="str">
        <f t="shared" si="0"/>
        <v>Standard Price</v>
      </c>
      <c r="I28" s="28">
        <v>30</v>
      </c>
      <c r="J28" s="28" t="s">
        <v>13</v>
      </c>
    </row>
    <row r="29" spans="1:10" x14ac:dyDescent="0.3">
      <c r="A29" s="30" t="s">
        <v>82</v>
      </c>
      <c r="B29" s="30" t="str">
        <f>LEFT(Table6[[#This Row],[Product ID]],2)</f>
        <v>13</v>
      </c>
      <c r="C29" s="30" t="str">
        <f>RIGHT(Table6[[#This Row],[Product ID]],2)</f>
        <v>CA</v>
      </c>
      <c r="D29" s="30" t="str">
        <f>MID(Table6[[#This Row],[Product ID]],4,3)</f>
        <v>APR</v>
      </c>
      <c r="E29" s="30" t="s">
        <v>83</v>
      </c>
      <c r="F29" s="30" t="s">
        <v>84</v>
      </c>
      <c r="G29" s="30">
        <v>40</v>
      </c>
      <c r="H29" s="30" t="str">
        <f t="shared" si="0"/>
        <v>Standard Price</v>
      </c>
      <c r="I29" s="30">
        <v>10</v>
      </c>
      <c r="J29" s="30" t="s">
        <v>17</v>
      </c>
    </row>
    <row r="30" spans="1:10" x14ac:dyDescent="0.3">
      <c r="A30" s="28" t="s">
        <v>85</v>
      </c>
      <c r="B30" s="28" t="str">
        <f>LEFT(Table6[[#This Row],[Product ID]],2)</f>
        <v>24</v>
      </c>
      <c r="C30" s="28" t="str">
        <f>RIGHT(Table6[[#This Row],[Product ID]],2)</f>
        <v>CA</v>
      </c>
      <c r="D30" s="28" t="str">
        <f>MID(Table6[[#This Row],[Product ID]],4,3)</f>
        <v>MAY</v>
      </c>
      <c r="E30" s="28" t="s">
        <v>71</v>
      </c>
      <c r="F30" s="28" t="s">
        <v>86</v>
      </c>
      <c r="G30" s="28">
        <v>130</v>
      </c>
      <c r="H30" s="28" t="str">
        <f t="shared" si="0"/>
        <v>Standard Price</v>
      </c>
      <c r="I30" s="28">
        <v>5</v>
      </c>
      <c r="J30" s="28" t="s">
        <v>9</v>
      </c>
    </row>
    <row r="31" spans="1:10" x14ac:dyDescent="0.3">
      <c r="A31" s="30" t="s">
        <v>87</v>
      </c>
      <c r="B31" s="30" t="str">
        <f>LEFT(Table6[[#This Row],[Product ID]],2)</f>
        <v>02</v>
      </c>
      <c r="C31" s="30" t="str">
        <f>RIGHT(Table6[[#This Row],[Product ID]],2)</f>
        <v>CA</v>
      </c>
      <c r="D31" s="30" t="str">
        <f>MID(Table6[[#This Row],[Product ID]],4,3)</f>
        <v>DEC</v>
      </c>
      <c r="E31" s="30" t="s">
        <v>88</v>
      </c>
      <c r="F31" s="30" t="s">
        <v>89</v>
      </c>
      <c r="G31" s="30">
        <v>50</v>
      </c>
      <c r="H31" s="30" t="str">
        <f t="shared" si="0"/>
        <v>Standard Price</v>
      </c>
      <c r="I31" s="30">
        <v>50</v>
      </c>
      <c r="J31" s="30" t="s">
        <v>13</v>
      </c>
    </row>
    <row r="32" spans="1:10" x14ac:dyDescent="0.3">
      <c r="A32" s="30" t="s">
        <v>90</v>
      </c>
      <c r="B32" s="30" t="str">
        <f>LEFT(Table6[[#This Row],[Product ID]],2)</f>
        <v>09</v>
      </c>
      <c r="C32" s="30" t="str">
        <f>RIGHT(Table6[[#This Row],[Product ID]],2)</f>
        <v>FR</v>
      </c>
      <c r="D32" s="30" t="str">
        <f>MID(Table6[[#This Row],[Product ID]],4,3)</f>
        <v>JUL</v>
      </c>
      <c r="E32" s="30" t="s">
        <v>91</v>
      </c>
      <c r="F32" s="30" t="s">
        <v>92</v>
      </c>
      <c r="G32" s="30">
        <v>100</v>
      </c>
      <c r="H32" s="30" t="str">
        <f t="shared" si="0"/>
        <v>Standard Price</v>
      </c>
      <c r="I32" s="30">
        <v>20</v>
      </c>
      <c r="J32" s="30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Sum,count and average</vt:lpstr>
      <vt:lpstr>Mininum and Maximum</vt:lpstr>
      <vt:lpstr>IF Function</vt:lpstr>
      <vt:lpstr>SumIF and CountIF</vt:lpstr>
      <vt:lpstr>Right,Left and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2026-03-31T17:43:27Z</dcterms:created>
  <dcterms:modified xsi:type="dcterms:W3CDTF">2026-04-06T16:39:16Z</dcterms:modified>
</cp:coreProperties>
</file>